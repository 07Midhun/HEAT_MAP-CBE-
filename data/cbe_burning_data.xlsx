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oth\Desktop\"/>
    </mc:Choice>
  </mc:AlternateContent>
  <xr:revisionPtr revIDLastSave="0" documentId="13_ncr:1_{F4E50928-909D-41F3-B86C-150BD4CB6ED1}" xr6:coauthVersionLast="47" xr6:coauthVersionMax="47" xr10:uidLastSave="{00000000-0000-0000-0000-000000000000}"/>
  <bookViews>
    <workbookView xWindow="-120" yWindow="-120" windowWidth="29040" windowHeight="15720" activeTab="2" xr2:uid="{FCC3005F-AFB1-4D27-904D-38E38AEEAD96}"/>
  </bookViews>
  <sheets>
    <sheet name="Entities table_CCMS Panel View" sheetId="1" r:id="rId1"/>
    <sheet name="Sheet1" sheetId="2" r:id="rId2"/>
    <sheet name="Sheet2" sheetId="3" r:id="rId3"/>
    <sheet name="Sheet3" sheetId="4" r:id="rId4"/>
  </sheets>
  <definedNames>
    <definedName name="_xlnm._FilterDatabase" localSheetId="0" hidden="1">'Entities table_CCMS Panel View'!$A$1:$Z$260</definedName>
    <definedName name="_xlnm._FilterDatabase" localSheetId="2" hidden="1">Sheet2!$A$1:$M$169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" i="1"/>
</calcChain>
</file>

<file path=xl/sharedStrings.xml><?xml version="1.0" encoding="utf-8"?>
<sst xmlns="http://schemas.openxmlformats.org/spreadsheetml/2006/main" count="4182" uniqueCount="1108">
  <si>
    <t>UID</t>
  </si>
  <si>
    <t>Comm Status</t>
  </si>
  <si>
    <t>Relay Status</t>
  </si>
  <si>
    <t>Received time</t>
  </si>
  <si>
    <t>R-Volt (V)</t>
  </si>
  <si>
    <t>Y-Volt (V)</t>
  </si>
  <si>
    <t>B-Volt (V)</t>
  </si>
  <si>
    <t>R-Cur (A)</t>
  </si>
  <si>
    <t>Y-Cur (A)</t>
  </si>
  <si>
    <t>B-Cur (A)</t>
  </si>
  <si>
    <t>R-Pow (kW)</t>
  </si>
  <si>
    <t>Y-Pow (kW)</t>
  </si>
  <si>
    <t>B-Pow (kW)</t>
  </si>
  <si>
    <t>Fault</t>
  </si>
  <si>
    <t>Mode</t>
  </si>
  <si>
    <t>Zone</t>
  </si>
  <si>
    <t>Ward</t>
  </si>
  <si>
    <t>Location</t>
  </si>
  <si>
    <t>Sim No</t>
  </si>
  <si>
    <t>SC No</t>
  </si>
  <si>
    <t>Gateway UID</t>
  </si>
  <si>
    <t>Neutral current (A)</t>
  </si>
  <si>
    <t>Luminator latitude</t>
  </si>
  <si>
    <t>Luminator longitude</t>
  </si>
  <si>
    <t>Installed By</t>
  </si>
  <si>
    <t>SS1075AA38010</t>
  </si>
  <si>
    <t>Online</t>
  </si>
  <si>
    <t>Off</t>
  </si>
  <si>
    <t>6/13/2026, 9:33:48 AM</t>
  </si>
  <si>
    <t>AUTO</t>
  </si>
  <si>
    <t>CJB-S</t>
  </si>
  <si>
    <t>CJB-S-76</t>
  </si>
  <si>
    <t>Kumara, Pappanaickenpalayam, Tamil Nadu, India, 641007,</t>
  </si>
  <si>
    <t>#AO209</t>
  </si>
  <si>
    <t>parthiban.c@schnellenergy.com</t>
  </si>
  <si>
    <t>SS1075AA37998</t>
  </si>
  <si>
    <t>6/13/2026, 9:30:39 AM</t>
  </si>
  <si>
    <t>CJB-S-78</t>
  </si>
  <si>
    <t>Selvapuram North, Coimbatore, Tamil Nadu, India, 641001,</t>
  </si>
  <si>
    <t>#AO054</t>
  </si>
  <si>
    <t>SSC1074A13049</t>
  </si>
  <si>
    <t>6/13/2026, 9:30:30 AM</t>
  </si>
  <si>
    <t>CJB-S-86</t>
  </si>
  <si>
    <t>Royal nagar 3street,Coimbatore Ward 30,Coimbatore,Tamil Nadu,India,641001</t>
  </si>
  <si>
    <t>#BH417</t>
  </si>
  <si>
    <t>sanjaikumarkrishnan@gmail.com</t>
  </si>
  <si>
    <t>SS1075AA25892</t>
  </si>
  <si>
    <t>6/13/2026, 9:00:35 AM</t>
  </si>
  <si>
    <t>TPR</t>
  </si>
  <si>
    <t>Selvapuram South,Coimbatore,LIC Colony Road,Tamil Nadu,India,641026</t>
  </si>
  <si>
    <t>#AD328</t>
  </si>
  <si>
    <t>SSC1074A14429</t>
  </si>
  <si>
    <t>XWRM+M9X,Bharathi Rd,Golden Nagar,Selvapuram North,Coimbatore,Tamil Nadu 641026,India</t>
  </si>
  <si>
    <t>#BJ621</t>
  </si>
  <si>
    <t>SSC1074A14346</t>
  </si>
  <si>
    <t>6/13/2026, 9:30:28 AM</t>
  </si>
  <si>
    <t>Amman nagar 2street,XWXP+PMX,Telungu Palayam Rd,Shanmuga Nagar,Selvapuram North,Coimbatore,Ponnaiah Raja Puram,Tamil Nadu 641039,India</t>
  </si>
  <si>
    <t>#BJ539</t>
  </si>
  <si>
    <t>SSC1074A14533</t>
  </si>
  <si>
    <t>6/13/2026, 9:30:27 AM</t>
  </si>
  <si>
    <t>CJB-S-77</t>
  </si>
  <si>
    <t>pandian Nagar,XWVR+MPC,Shanmugarajapuram,TNHB,Selvapuram North,Coimbatore,Tamil Nadu 641026,India</t>
  </si>
  <si>
    <t>#BJ644</t>
  </si>
  <si>
    <t>SS1075AA25893</t>
  </si>
  <si>
    <t>6/13/2026, 9:30:36 AM</t>
  </si>
  <si>
    <t>PONVILA NAGAR AUTO STAND</t>
  </si>
  <si>
    <t>#AD174</t>
  </si>
  <si>
    <t>SS1075AA26542</t>
  </si>
  <si>
    <t>6/13/2026, 9:00:40 AM</t>
  </si>
  <si>
    <t>DHAMMU NAGAR</t>
  </si>
  <si>
    <t>#AE304</t>
  </si>
  <si>
    <t>SS1075AA26290</t>
  </si>
  <si>
    <t>6/13/2026, 9:30:32 AM</t>
  </si>
  <si>
    <t>RAMAMURTHY ROAD -33</t>
  </si>
  <si>
    <t>#AE323</t>
  </si>
  <si>
    <t>SS1075AA26889</t>
  </si>
  <si>
    <t>6/13/2026, 9:04:11 AM</t>
  </si>
  <si>
    <t>AANDIPALAYAM PIRIVU NEAR CHECK POST - 83</t>
  </si>
  <si>
    <t>#AE605</t>
  </si>
  <si>
    <t>SS1075AA27586</t>
  </si>
  <si>
    <t>6/13/2026, 9:30:35 AM</t>
  </si>
  <si>
    <t>GOLDEN NAGAR</t>
  </si>
  <si>
    <t>#AE354</t>
  </si>
  <si>
    <t>SS1075AA26376</t>
  </si>
  <si>
    <t>Offline (PF)</t>
  </si>
  <si>
    <t>6/13/2026, 9:17:41 AM</t>
  </si>
  <si>
    <t>PERIA THAMBI STREET - 37</t>
  </si>
  <si>
    <t>#AK433</t>
  </si>
  <si>
    <t>SS1075AA27659</t>
  </si>
  <si>
    <t>6/13/2026, 9:30:38 AM</t>
  </si>
  <si>
    <t>SELVAPURAM NORTH HOUSING UNIT 60FEET OPP MURUGAN KOIL - 41</t>
  </si>
  <si>
    <t>#AE774</t>
  </si>
  <si>
    <t>SS1075AA26446</t>
  </si>
  <si>
    <t>6/13/2026, 9:01:31 AM</t>
  </si>
  <si>
    <t>MUTHAYA UDAYAR STREET</t>
  </si>
  <si>
    <t>#AF162</t>
  </si>
  <si>
    <t>SS1075AA24828</t>
  </si>
  <si>
    <t>KALLAMEDU HOUSING UNIT</t>
  </si>
  <si>
    <t>013-013-005</t>
  </si>
  <si>
    <t>#AE417</t>
  </si>
  <si>
    <t>SS1075AA25872</t>
  </si>
  <si>
    <t>Offline</t>
  </si>
  <si>
    <t>Unknown</t>
  </si>
  <si>
    <t>6/10/2026, 8:30:36 PM</t>
  </si>
  <si>
    <t>SARAMEDU MAIN ROAD BEFORE DUBAI BAKES - 63</t>
  </si>
  <si>
    <t>#AY939</t>
  </si>
  <si>
    <t>SS1075AA26069</t>
  </si>
  <si>
    <t>6/13/2026, 9:30:33 AM</t>
  </si>
  <si>
    <t>CJB-S-79</t>
  </si>
  <si>
    <t>LIC COLONY OPP CHAMUNDI DRIVING</t>
  </si>
  <si>
    <t>013-014-360</t>
  </si>
  <si>
    <t>#AE571</t>
  </si>
  <si>
    <t>SS1075AA25846</t>
  </si>
  <si>
    <t>6/13/2026, 9:30:34 AM</t>
  </si>
  <si>
    <t>BALAJI NAGAR 1ST CROSS</t>
  </si>
  <si>
    <t>#AC866</t>
  </si>
  <si>
    <t>SS1075AA26877</t>
  </si>
  <si>
    <t>KALLAMEDU NEAR PETTI SHOP</t>
  </si>
  <si>
    <t>#AE429</t>
  </si>
  <si>
    <t>SS1075AA27700</t>
  </si>
  <si>
    <t>CHITHAMBARAM COLONY</t>
  </si>
  <si>
    <t>#AE852</t>
  </si>
  <si>
    <t>SS3225AA21897</t>
  </si>
  <si>
    <t>6/13/2026, 9:30:37 AM</t>
  </si>
  <si>
    <t>YIC / ROC / YOC / MCB</t>
  </si>
  <si>
    <t>RAMAMURTHY ROAD PALLIVASAL HIGHMAST - 31</t>
  </si>
  <si>
    <t>#AH383</t>
  </si>
  <si>
    <t>SS1075AA25839</t>
  </si>
  <si>
    <t>6/13/2026, 9:00:39 AM</t>
  </si>
  <si>
    <t>TELUGU PALAYAM ROAD</t>
  </si>
  <si>
    <t>#AD232</t>
  </si>
  <si>
    <t>SS1075AA25816</t>
  </si>
  <si>
    <t>6/13/2026, 9:14:32 AM</t>
  </si>
  <si>
    <t>LIC COLONY TOWER LINE ROAD LAST</t>
  </si>
  <si>
    <t>#AD242</t>
  </si>
  <si>
    <t>SS1075AA27716</t>
  </si>
  <si>
    <t>6/13/2026, 9:14:27 AM</t>
  </si>
  <si>
    <t>SUBRAMANIYA UDAYAR STREET</t>
  </si>
  <si>
    <t>#AD408</t>
  </si>
  <si>
    <t>SS1075AA25829</t>
  </si>
  <si>
    <t>6/13/2026, 9:28:48 AM</t>
  </si>
  <si>
    <t>CHOKKAMPUDHUR</t>
  </si>
  <si>
    <t>#AD214</t>
  </si>
  <si>
    <t>SS1075AA26269</t>
  </si>
  <si>
    <t>6/13/2026, 9:30:51 AM</t>
  </si>
  <si>
    <t>MTR</t>
  </si>
  <si>
    <t>AMUL NAGAR NEAR VINAYAGAR TEMPLE</t>
  </si>
  <si>
    <t>#AF067</t>
  </si>
  <si>
    <t>SS1075AA26073</t>
  </si>
  <si>
    <t>NEW LORRY STAND ,SOUTH UKKADAM</t>
  </si>
  <si>
    <t>#AE065</t>
  </si>
  <si>
    <t>SS1075AA25047</t>
  </si>
  <si>
    <t>AL AMEEN COLONY 1ST STREET - 49</t>
  </si>
  <si>
    <t>#AE424</t>
  </si>
  <si>
    <t>SS1075AA26026</t>
  </si>
  <si>
    <t>6/13/2026, 9:04:09 AM</t>
  </si>
  <si>
    <t>MUTHAYA UDAYAR STREET TELUGUPALAYAM - 47</t>
  </si>
  <si>
    <t>#AE132</t>
  </si>
  <si>
    <t>SS1075AA26185</t>
  </si>
  <si>
    <t>HOUSING UNIT - 41</t>
  </si>
  <si>
    <t>#AE923</t>
  </si>
  <si>
    <t>SS1075AA26353</t>
  </si>
  <si>
    <t>6/13/2026, 9:34:13 AM</t>
  </si>
  <si>
    <t>MTR / TPR</t>
  </si>
  <si>
    <t>MEENAKSHI NAGAR</t>
  </si>
  <si>
    <t>#AB757</t>
  </si>
  <si>
    <t>SS1075AA26379</t>
  </si>
  <si>
    <t>6/13/2026, 9:14:31 AM</t>
  </si>
  <si>
    <t>LITTLE FLOWER NAGAR</t>
  </si>
  <si>
    <t>#AB701</t>
  </si>
  <si>
    <t>SS1075AA26657</t>
  </si>
  <si>
    <t>LIC COLONY EXTENSION LAST</t>
  </si>
  <si>
    <t>#AD986</t>
  </si>
  <si>
    <t>SS1075AA24955</t>
  </si>
  <si>
    <t>ARUL GARDEN</t>
  </si>
  <si>
    <t>#AD540</t>
  </si>
  <si>
    <t>SS1075AA26350</t>
  </si>
  <si>
    <t>6/13/2026, 9:30:09 AM</t>
  </si>
  <si>
    <t>TPR / BPS</t>
  </si>
  <si>
    <t>MANUAL</t>
  </si>
  <si>
    <t>SUNDAKAMUTHUR ROAD</t>
  </si>
  <si>
    <t>033-009-3897</t>
  </si>
  <si>
    <t>#AF027</t>
  </si>
  <si>
    <t>SS1075AA26441</t>
  </si>
  <si>
    <t>MURUGAN NAGAR</t>
  </si>
  <si>
    <t>#AF169</t>
  </si>
  <si>
    <t>SS1075AA26381</t>
  </si>
  <si>
    <t>PERUR ROAD NEAR CHERAN COLLEGE</t>
  </si>
  <si>
    <t>#AF033</t>
  </si>
  <si>
    <t>SS1075AA26305</t>
  </si>
  <si>
    <t>NAJAPPA GARDEN 3RD STREET NEAR PALLIVASAL - 36</t>
  </si>
  <si>
    <t>#AC066</t>
  </si>
  <si>
    <t>SS1075AA26427</t>
  </si>
  <si>
    <t>PEARUMAL KOVIL STREET</t>
  </si>
  <si>
    <t>#AF233</t>
  </si>
  <si>
    <t>SS1075AA25700</t>
  </si>
  <si>
    <t>6/13/2026, 9:00:50 AM</t>
  </si>
  <si>
    <t>MEENAKSHI NAGAR LAST</t>
  </si>
  <si>
    <t>013-008-2493</t>
  </si>
  <si>
    <t>#AE195</t>
  </si>
  <si>
    <t>SS1075AA25009</t>
  </si>
  <si>
    <t>6/13/2026, 9:30:31 AM</t>
  </si>
  <si>
    <t>1-3, Salamath Nagar, Coimbatore Ward 30, Coimbatore, Tamil Nadu 641001, India</t>
  </si>
  <si>
    <t>#AE174</t>
  </si>
  <si>
    <t>SS1075AA27714</t>
  </si>
  <si>
    <t>AMMAN NAGAR</t>
  </si>
  <si>
    <t>#AD447</t>
  </si>
  <si>
    <t>SS1075AA26380</t>
  </si>
  <si>
    <t>RAJARATHINAM NAGAR - 38</t>
  </si>
  <si>
    <t>#AF026</t>
  </si>
  <si>
    <t>SS1075AA26732</t>
  </si>
  <si>
    <t>6/13/2026, 9:14:33 AM</t>
  </si>
  <si>
    <t>LIC COLONY NEAR LIBRARY</t>
  </si>
  <si>
    <t>#AE095</t>
  </si>
  <si>
    <t>SS1075AA26042</t>
  </si>
  <si>
    <t>THILLAI NAGAR NEAR CAR PARKING</t>
  </si>
  <si>
    <t>#AE115</t>
  </si>
  <si>
    <t>SS1075AA26050</t>
  </si>
  <si>
    <t>AKS NAGAR NEAR GROUND - 44</t>
  </si>
  <si>
    <t>#AF010</t>
  </si>
  <si>
    <t>SS1075AA26574</t>
  </si>
  <si>
    <t>MCR NAGAR 2ND STREET - 23</t>
  </si>
  <si>
    <t>#AE227</t>
  </si>
  <si>
    <t>SS1075AA25778</t>
  </si>
  <si>
    <t>SA GARDEN</t>
  </si>
  <si>
    <t>#AD215</t>
  </si>
  <si>
    <t>SS1075AA26265</t>
  </si>
  <si>
    <t>SUBRAMANIAM UDAYAR STREET</t>
  </si>
  <si>
    <t>#AD865</t>
  </si>
  <si>
    <t>SS1075AA26311</t>
  </si>
  <si>
    <t>BRIGHT GARDEN</t>
  </si>
  <si>
    <t>#AF070</t>
  </si>
  <si>
    <t>SS1075AA26572</t>
  </si>
  <si>
    <t>SOWKAR NAGAR 2ND STREET - 27</t>
  </si>
  <si>
    <t>#AE248</t>
  </si>
  <si>
    <t>SS1075AA26281</t>
  </si>
  <si>
    <t>NEAR SELVAPURAM POLICE STATION - 97</t>
  </si>
  <si>
    <t>#AE844</t>
  </si>
  <si>
    <t>SS1075AA27691</t>
  </si>
  <si>
    <t>PERUR ROAD NEAR ANADH HOTEL</t>
  </si>
  <si>
    <t>#AE741</t>
  </si>
  <si>
    <t>SS1075AA26236</t>
  </si>
  <si>
    <t>6/13/2026, 9:30:42 AM</t>
  </si>
  <si>
    <t>HOUSING UNIT - 44</t>
  </si>
  <si>
    <t>#AE059</t>
  </si>
  <si>
    <t>SS1075AA26393</t>
  </si>
  <si>
    <t>VEDDAPATTI ROAD OPP TO TEXTOOL COLONY</t>
  </si>
  <si>
    <t>#AF163</t>
  </si>
  <si>
    <t>SS1075AA26275</t>
  </si>
  <si>
    <t>6/13/2026, 9:16:02 AM</t>
  </si>
  <si>
    <t>VETRI VINNAGAYAR NAGAR</t>
  </si>
  <si>
    <t>#AF077</t>
  </si>
  <si>
    <t>SS1075AA26802</t>
  </si>
  <si>
    <t>TIPPU NAGAR 2ND STREET - 61</t>
  </si>
  <si>
    <t>#AE652</t>
  </si>
  <si>
    <t>SS1075AA25909</t>
  </si>
  <si>
    <t>6/13/2026, 9:01:15 AM</t>
  </si>
  <si>
    <t>TELUGUPALAYAM ROAD OPP RK AGENCIES</t>
  </si>
  <si>
    <t>#AD230</t>
  </si>
  <si>
    <t>SS3225AA21852</t>
  </si>
  <si>
    <t>6/13/2026, 9:30:14 AM</t>
  </si>
  <si>
    <t>BIC / BPS</t>
  </si>
  <si>
    <t>SELVAPURAM SIVALAYA THEATRE HIGHMAST -</t>
  </si>
  <si>
    <t>#AA224</t>
  </si>
  <si>
    <t>SS1075AA26309</t>
  </si>
  <si>
    <t>PRIYA NAGAR LAST</t>
  </si>
  <si>
    <t>#AE778</t>
  </si>
  <si>
    <t>SS1075AA25994</t>
  </si>
  <si>
    <t>POONGA NAGAR MAIN</t>
  </si>
  <si>
    <t>#AE320</t>
  </si>
  <si>
    <t>SS1075AA26878</t>
  </si>
  <si>
    <t>MUTHUSAMY COLONY NEAR VINAYAGAR TEMPLE</t>
  </si>
  <si>
    <t>#AN625</t>
  </si>
  <si>
    <t>SS1075AA24829</t>
  </si>
  <si>
    <t>SARAMEDU MAIN ROAD PALLIVASAL OPP</t>
  </si>
  <si>
    <t>#AE401</t>
  </si>
  <si>
    <t>SS1075AA25762</t>
  </si>
  <si>
    <t>KALLAMEDU OPP D.NO.7</t>
  </si>
  <si>
    <t>#AC821</t>
  </si>
  <si>
    <t>SS1075AA27730</t>
  </si>
  <si>
    <t>6/13/2026, 9:33:38 AM</t>
  </si>
  <si>
    <t>BHARATHI STREET</t>
  </si>
  <si>
    <t>#AF152</t>
  </si>
  <si>
    <t>SS1075AA26212</t>
  </si>
  <si>
    <t>HOUSING UNIT - 47</t>
  </si>
  <si>
    <t>#AM089</t>
  </si>
  <si>
    <t>SS3225AA36470</t>
  </si>
  <si>
    <t>1/10/2025, 12:30:28 AM</t>
  </si>
  <si>
    <t>ROC / YOC / MCB</t>
  </si>
  <si>
    <t>No 2, Sowkar nagar 1st street, Karumbukadai, Coimbatore - 641008, Coimbatore, Tamil Nadu 641008, India</t>
  </si>
  <si>
    <t>#AN369</t>
  </si>
  <si>
    <t>SS1075AA23434</t>
  </si>
  <si>
    <t>SALAMATH NAGAR</t>
  </si>
  <si>
    <t>#AR342</t>
  </si>
  <si>
    <t>SS1075AA26301</t>
  </si>
  <si>
    <t>INDIRA NAGAR EXTENSION ESHWAR HOSPITAL</t>
  </si>
  <si>
    <t>#AF098</t>
  </si>
  <si>
    <t>SS3225AA21887</t>
  </si>
  <si>
    <t>6/13/2026, 9:00:44 AM</t>
  </si>
  <si>
    <t>TELUGUPALAYAM TO PANAMARATHUR ROAD HIGHMAST</t>
  </si>
  <si>
    <t>#AA162</t>
  </si>
  <si>
    <t>SS1075AA26277</t>
  </si>
  <si>
    <t>6/13/2026, 9:00:46 AM</t>
  </si>
  <si>
    <t>PRIYA NAGAR NEAR PARK</t>
  </si>
  <si>
    <t>#AF051</t>
  </si>
  <si>
    <t>SS1075AA26675</t>
  </si>
  <si>
    <t>5/12/2026, 8:48:25 AM</t>
  </si>
  <si>
    <t>OLD MARKET BEFORE PALLIVASAL - 33</t>
  </si>
  <si>
    <t>#AE035</t>
  </si>
  <si>
    <t>SS1075AA26010</t>
  </si>
  <si>
    <t>6/13/2026, 9:33:44 AM</t>
  </si>
  <si>
    <t>HOUSING UNIT - 46</t>
  </si>
  <si>
    <t>#AE874</t>
  </si>
  <si>
    <t>SS1075AA26306</t>
  </si>
  <si>
    <t>NSK STREET - 39</t>
  </si>
  <si>
    <t>#AD112</t>
  </si>
  <si>
    <t>SS1075AA25847</t>
  </si>
  <si>
    <t>RANGAPPA GOUNDER LAYOUT B10 POLICE STATION</t>
  </si>
  <si>
    <t>#AD279</t>
  </si>
  <si>
    <t>SS1075AA25678</t>
  </si>
  <si>
    <t>6/13/2026, 9:00:41 AM</t>
  </si>
  <si>
    <t>KALIGNAR NAGAR</t>
  </si>
  <si>
    <t>#AD309</t>
  </si>
  <si>
    <t>SS1075AA25985</t>
  </si>
  <si>
    <t>6/13/2026, 9:30:40 AM</t>
  </si>
  <si>
    <t>RAMAMURTHY ROAD PANDIANAGAR JUNCTION</t>
  </si>
  <si>
    <t>#AE330</t>
  </si>
  <si>
    <t>SS1075AA26853</t>
  </si>
  <si>
    <t>6/13/2026, 9:31:15 AM</t>
  </si>
  <si>
    <t>JK GARDEN - 40</t>
  </si>
  <si>
    <t>#AE601</t>
  </si>
  <si>
    <t>SS1075AA25701</t>
  </si>
  <si>
    <t>6/13/2026, 9:01:34 AM</t>
  </si>
  <si>
    <t>RAJIVI GANDHI NAGAR</t>
  </si>
  <si>
    <t>#AC637</t>
  </si>
  <si>
    <t>SS1075AA26140</t>
  </si>
  <si>
    <t>6/13/2026, 9:00:43 AM</t>
  </si>
  <si>
    <t>MARTINA APPARTMENT - 73</t>
  </si>
  <si>
    <t>#AE939</t>
  </si>
  <si>
    <t>SS1075AA25981</t>
  </si>
  <si>
    <t>6/5/2026, 9:38:05 AM</t>
  </si>
  <si>
    <t>#AE662</t>
  </si>
  <si>
    <t>SS1075AA26352</t>
  </si>
  <si>
    <t>#AF075</t>
  </si>
  <si>
    <t>SS1075AA26241</t>
  </si>
  <si>
    <t>6/13/2026, 9:00:36 AM</t>
  </si>
  <si>
    <t>RAJIV GANDHI NAGAR LAST - 54</t>
  </si>
  <si>
    <t>#AF019</t>
  </si>
  <si>
    <t>SS1075AA26354</t>
  </si>
  <si>
    <t>6/13/2026, 9:14:25 AM</t>
  </si>
  <si>
    <t>VEDDAPATTI ROAD NEAR GEM MOUNT DIAMOND MANUFACTURER COMPANY</t>
  </si>
  <si>
    <t>#AF025</t>
  </si>
  <si>
    <t>SS3225AA22017</t>
  </si>
  <si>
    <t>YIC / BIC</t>
  </si>
  <si>
    <t>PON VIZHA NAGAR OPP CHERAN BAKERY - 55</t>
  </si>
  <si>
    <t>#AA279</t>
  </si>
  <si>
    <t>SS1075AA27717</t>
  </si>
  <si>
    <t>6/13/2026, 9:00:38 AM</t>
  </si>
  <si>
    <t>MAYNAGA NAGAR</t>
  </si>
  <si>
    <t>#AD463</t>
  </si>
  <si>
    <t>SS1075AA24874</t>
  </si>
  <si>
    <t>SHANMUGA NAGAR 3RD CROSS</t>
  </si>
  <si>
    <t>#AE378</t>
  </si>
  <si>
    <t>SS1075AA26432</t>
  </si>
  <si>
    <t>6/13/2026, 9:16:03 AM</t>
  </si>
  <si>
    <t>AROMA BAKERY THIRUMURUGAN LAYOUT</t>
  </si>
  <si>
    <t>#AF143</t>
  </si>
  <si>
    <t>SS3225AA36492</t>
  </si>
  <si>
    <t>6/13/2026, 9:33:46 AM</t>
  </si>
  <si>
    <t>MTR / ROC / YOC / TPR</t>
  </si>
  <si>
    <t>Pullukadu Main Road Near CTC Depo</t>
  </si>
  <si>
    <t>#AN401</t>
  </si>
  <si>
    <t>SS1075AA25914</t>
  </si>
  <si>
    <t>CHERAN NAGAR</t>
  </si>
  <si>
    <t>#AF201</t>
  </si>
  <si>
    <t>SS1075AA25693</t>
  </si>
  <si>
    <t>AL AMEEN COLONY 1ST STREET - 48</t>
  </si>
  <si>
    <t>#AN546</t>
  </si>
  <si>
    <t>SS1075AA27644</t>
  </si>
  <si>
    <t>RAJIV GANDHI NAGAR - 53</t>
  </si>
  <si>
    <t>#AE877</t>
  </si>
  <si>
    <t>SS1075AA27715</t>
  </si>
  <si>
    <t>6/13/2026, 9:30:48 AM</t>
  </si>
  <si>
    <t>ANNA NAGAR</t>
  </si>
  <si>
    <t>#AD442</t>
  </si>
  <si>
    <t>SS1075AA26319</t>
  </si>
  <si>
    <t>RAMAMURTHY ROAD OLD POLICE STATION ROAD - 32</t>
  </si>
  <si>
    <t>#AF089</t>
  </si>
  <si>
    <t>SS1075AA27686</t>
  </si>
  <si>
    <t>RAJESHWARI NAGAR - 13</t>
  </si>
  <si>
    <t>#AE781</t>
  </si>
  <si>
    <t>SS1075AA25970</t>
  </si>
  <si>
    <t>ROSE GARDEN</t>
  </si>
  <si>
    <t>#AD345</t>
  </si>
  <si>
    <t>SS1075AA26476</t>
  </si>
  <si>
    <t>143, Perur Main Rd, above muthumalai rice shop, Selvapuram Muthuswamy Colony, Selvapuram South, Selvapuram, Tamil Nadu 641026, India</t>
  </si>
  <si>
    <t>#AE209</t>
  </si>
  <si>
    <t>SS1075AA26295</t>
  </si>
  <si>
    <t>KULANDHAI NAYAKAR THOTAM</t>
  </si>
  <si>
    <t>#AE251</t>
  </si>
  <si>
    <t>SS1075AA25358</t>
  </si>
  <si>
    <t>SHANMUGA NAGAR 5TH STREET EB COLONY</t>
  </si>
  <si>
    <t>#AB604</t>
  </si>
  <si>
    <t>SS1075AA26750</t>
  </si>
  <si>
    <t>6/13/2026, 9:30:29 AM</t>
  </si>
  <si>
    <t>ARUL NAGAR 1ST STREET - 57</t>
  </si>
  <si>
    <t>#AD974</t>
  </si>
  <si>
    <t>SS1075AA26257</t>
  </si>
  <si>
    <t>NSK STREET - 40</t>
  </si>
  <si>
    <t>#AE998</t>
  </si>
  <si>
    <t>SS1075AA26259</t>
  </si>
  <si>
    <t>RAJESHWARI NAGAR NEAR SELVAPURAM JUNCTION - 12</t>
  </si>
  <si>
    <t>#AE959</t>
  </si>
  <si>
    <t>SS1075AA25710</t>
  </si>
  <si>
    <t>SHANMUGA NAGAR</t>
  </si>
  <si>
    <t>#AC663</t>
  </si>
  <si>
    <t>SS1075AA26864</t>
  </si>
  <si>
    <t>PALANISAMY THOTTAM - LEELA APPARTMENT OPP</t>
  </si>
  <si>
    <t>#AE317</t>
  </si>
  <si>
    <t>SS1075AA26830</t>
  </si>
  <si>
    <t>6/13/2026, 9:14:43 AM</t>
  </si>
  <si>
    <t>LIC COLONY CGV NAGAR</t>
  </si>
  <si>
    <t>#AE061</t>
  </si>
  <si>
    <t>SS1075AA25327</t>
  </si>
  <si>
    <t>DEVANDRA STREET - 8</t>
  </si>
  <si>
    <t>#AD052</t>
  </si>
  <si>
    <t>SS1075AA25921</t>
  </si>
  <si>
    <t>ROSE GARDEN 2ND STREET - 51</t>
  </si>
  <si>
    <t>#AC337</t>
  </si>
  <si>
    <t>SS1075AA26139</t>
  </si>
  <si>
    <t>SELVAPURAM BEFORE HOUSING UNIT - 5</t>
  </si>
  <si>
    <t>#AE518</t>
  </si>
  <si>
    <t>SS1075AA25854</t>
  </si>
  <si>
    <t>PERUR MAIN ROAD INDRA NAGAR 94</t>
  </si>
  <si>
    <t>#AD353</t>
  </si>
  <si>
    <t>SS1075AA26834</t>
  </si>
  <si>
    <t>NORTH HOUSING UNIT 60FEET ROAD - 4</t>
  </si>
  <si>
    <t>#AE603</t>
  </si>
  <si>
    <t>SS1075AA27688</t>
  </si>
  <si>
    <t>LIC COLONY EXTENSION</t>
  </si>
  <si>
    <t>#AE771</t>
  </si>
  <si>
    <t>SS1075AA25980</t>
  </si>
  <si>
    <t>MUTHUSAMY COLONY SA GARDEN ROAD</t>
  </si>
  <si>
    <t>#AE202</t>
  </si>
  <si>
    <t>SS1075AA26062</t>
  </si>
  <si>
    <t>SOWDESHARI NAGAR NEAR SCHOOL</t>
  </si>
  <si>
    <t>#AE663</t>
  </si>
  <si>
    <t>SS1075AA25954</t>
  </si>
  <si>
    <t>SHANMUGA NAGAR EB COLONY MAIN ROAD</t>
  </si>
  <si>
    <t>#AD366</t>
  </si>
  <si>
    <t>SS1075AA25359</t>
  </si>
  <si>
    <t>6/13/2026, 9:01:27 AM</t>
  </si>
  <si>
    <t>ANNAI INDRA NAGAR- SBOA SCHOOL MAIN ROAD</t>
  </si>
  <si>
    <t>#AC939</t>
  </si>
  <si>
    <t>SS1075AA26302</t>
  </si>
  <si>
    <t>RAJESHWARI NAGAR</t>
  </si>
  <si>
    <t>#AC636</t>
  </si>
  <si>
    <t>SS1075AA26226</t>
  </si>
  <si>
    <t>PERUR MAIN ROAD AROMA BAKERY CUT - 70</t>
  </si>
  <si>
    <t>#AF011</t>
  </si>
  <si>
    <t>SS1075AA26762</t>
  </si>
  <si>
    <t>ANNAI INDRA NAGAR OPP THANGA KAMBI KADAI</t>
  </si>
  <si>
    <t>#AD977</t>
  </si>
  <si>
    <t>SS1075AA25075</t>
  </si>
  <si>
    <t>6/13/2026, 8:00:36 AM</t>
  </si>
  <si>
    <t>NANJAPPA GARDEN 1ST STREET</t>
  </si>
  <si>
    <t>#AE152</t>
  </si>
  <si>
    <t>SS1075AA24910</t>
  </si>
  <si>
    <t>6/13/2026, 9:17:44 AM</t>
  </si>
  <si>
    <t>ROJA GARDEN</t>
  </si>
  <si>
    <t>#AE044</t>
  </si>
  <si>
    <t>SS1075AA26443</t>
  </si>
  <si>
    <t>NARAYANASAMY NAGAR</t>
  </si>
  <si>
    <t>#AF198</t>
  </si>
  <si>
    <t>SS1075AA26484</t>
  </si>
  <si>
    <t>SOWDESHARI NAGAR - 26</t>
  </si>
  <si>
    <t>#AE245</t>
  </si>
  <si>
    <t>SS1075AA25231</t>
  </si>
  <si>
    <t>6/13/2026, 9:30:08 AM</t>
  </si>
  <si>
    <t>BPS</t>
  </si>
  <si>
    <t>SELVAPURAM NORTH HOUSING UNIT NEAR SELVAMPATHI KULAM -</t>
  </si>
  <si>
    <t>#AD474</t>
  </si>
  <si>
    <t>SS1075AA25785</t>
  </si>
  <si>
    <t>GODOWN LINE - 16</t>
  </si>
  <si>
    <t>#AD220</t>
  </si>
  <si>
    <t>SS1075AA26310</t>
  </si>
  <si>
    <t>JAYALAKSHMI NAGAR</t>
  </si>
  <si>
    <t>#AF060</t>
  </si>
  <si>
    <t>SS1075AA26823</t>
  </si>
  <si>
    <t>Bharath Nagar 4th Street opp to Kinder Club School</t>
  </si>
  <si>
    <t>#AE180</t>
  </si>
  <si>
    <t>SS1075AA26260</t>
  </si>
  <si>
    <t>#AE988</t>
  </si>
  <si>
    <t>SS1075AA26667</t>
  </si>
  <si>
    <t>SOWKAR NAGAR 3RD STREET - 74</t>
  </si>
  <si>
    <t>#AE258</t>
  </si>
  <si>
    <t>SS1075AA25840</t>
  </si>
  <si>
    <t>SIRUVANI GARDEN</t>
  </si>
  <si>
    <t>#AD240</t>
  </si>
  <si>
    <t>SS1075AA26071</t>
  </si>
  <si>
    <t>BHARATHI ROAD NEAR SRI KRISHNA BAKERY</t>
  </si>
  <si>
    <t>#AE761</t>
  </si>
  <si>
    <t>SS1075AA26271</t>
  </si>
  <si>
    <t>#AF047</t>
  </si>
  <si>
    <t>SS1075AA25983</t>
  </si>
  <si>
    <t>PERUR ROAD POLICE STATION BACKSIDE</t>
  </si>
  <si>
    <t>#AE128</t>
  </si>
  <si>
    <t>SS1075AA25357</t>
  </si>
  <si>
    <t>OLD MARKET BEFORE PALLIVASAL - 32</t>
  </si>
  <si>
    <t>#AD032</t>
  </si>
  <si>
    <t>SS1075AA26822</t>
  </si>
  <si>
    <t>PALLI VEETHI NOORSAIT MAHAL</t>
  </si>
  <si>
    <t>#AE588</t>
  </si>
  <si>
    <t>SS1075AA26559</t>
  </si>
  <si>
    <t>6/13/2026, 9:15:27 AM</t>
  </si>
  <si>
    <t>PALLI STREET</t>
  </si>
  <si>
    <t>012-002-32</t>
  </si>
  <si>
    <t>#AD510</t>
  </si>
  <si>
    <t>SS1075AA26568</t>
  </si>
  <si>
    <t>NORTH HOUSING UNIT 8TH STREET - 7</t>
  </si>
  <si>
    <t>#AE228</t>
  </si>
  <si>
    <t>SS1075AA26565</t>
  </si>
  <si>
    <t>6/13/2026, 9:31:37 AM</t>
  </si>
  <si>
    <t>POPULAR PARK LAY OUT</t>
  </si>
  <si>
    <t>012-003-2279</t>
  </si>
  <si>
    <t>#AC383</t>
  </si>
  <si>
    <t>SS1075AA27590</t>
  </si>
  <si>
    <t>MASANIAMMAN KOIL ROAD</t>
  </si>
  <si>
    <t>#AE105</t>
  </si>
  <si>
    <t>SS1075AA24908</t>
  </si>
  <si>
    <t>BALAJI NAGAR</t>
  </si>
  <si>
    <t>#AE430</t>
  </si>
  <si>
    <t>SS1075AA26489</t>
  </si>
  <si>
    <t>6/13/2026, 9:04:08 AM</t>
  </si>
  <si>
    <t>AASATH 5TH STREET NEAR SS4</t>
  </si>
  <si>
    <t>#AE238</t>
  </si>
  <si>
    <t>SS1075AA26733</t>
  </si>
  <si>
    <t>SHANMUGA NAGAR 1ST CROSS</t>
  </si>
  <si>
    <t>#AE649</t>
  </si>
  <si>
    <t>SS1075AA26545</t>
  </si>
  <si>
    <t>KALLAMEDU NEAR MOSQUE</t>
  </si>
  <si>
    <t>#AN488</t>
  </si>
  <si>
    <t>SS1075AA26813</t>
  </si>
  <si>
    <t>6/13/2026, 9:30:54 AM</t>
  </si>
  <si>
    <t>FISH MARKET MAIN ROAD</t>
  </si>
  <si>
    <t>#AE188</t>
  </si>
  <si>
    <t>SS1075AA27584</t>
  </si>
  <si>
    <t>SANMUGARAJA PURAM - 28</t>
  </si>
  <si>
    <t>#AE410</t>
  </si>
  <si>
    <t>SS1075AA26828</t>
  </si>
  <si>
    <t>BILAL STREET MAIN ROAD</t>
  </si>
  <si>
    <t>#AE084</t>
  </si>
  <si>
    <t>SS1075AA27605</t>
  </si>
  <si>
    <t>6/13/2026, 9:10:21 AM</t>
  </si>
  <si>
    <t>TELUNGUPALAYAM BUS STAND NEAR SCHOOL</t>
  </si>
  <si>
    <t>#AE111</t>
  </si>
  <si>
    <t>SS1075AA25864</t>
  </si>
  <si>
    <t>BARATH NAGAR 1ST STREET - 66</t>
  </si>
  <si>
    <t>#AD415</t>
  </si>
  <si>
    <t>SS1075AA26586</t>
  </si>
  <si>
    <t>SOMMU GARDEN</t>
  </si>
  <si>
    <t>#AE156</t>
  </si>
  <si>
    <t>SS1075AA26863</t>
  </si>
  <si>
    <t>KARUPPANAGOUNDER STREET</t>
  </si>
  <si>
    <t>#AE271</t>
  </si>
  <si>
    <t>SS1075AA26590</t>
  </si>
  <si>
    <t>SANMUGARAJA PURAM VINAYAGAPURAM - 43</t>
  </si>
  <si>
    <t>#AE064</t>
  </si>
  <si>
    <t>SS3225AA21902</t>
  </si>
  <si>
    <t>6/11/2026, 12:30:29 PM</t>
  </si>
  <si>
    <t>YOC / TPR</t>
  </si>
  <si>
    <t>SELVAMPATHI KULAM HIGHMAST - 10</t>
  </si>
  <si>
    <t>#AA128</t>
  </si>
  <si>
    <t>SS3225AA36479</t>
  </si>
  <si>
    <t>BIC / TPR</t>
  </si>
  <si>
    <t>Pullukadu Dobikana</t>
  </si>
  <si>
    <t>#AN443</t>
  </si>
  <si>
    <t>SS1075AA24814</t>
  </si>
  <si>
    <t>MCR NAGAR 3RD STREET</t>
  </si>
  <si>
    <t>#AE253</t>
  </si>
  <si>
    <t>SS1075AA25016</t>
  </si>
  <si>
    <t>MASANIAMMAN KOIL MAIN ROAD</t>
  </si>
  <si>
    <t>#AD336</t>
  </si>
  <si>
    <t>SS1075AA27592</t>
  </si>
  <si>
    <t>BILAL NAGAR</t>
  </si>
  <si>
    <t>#AE089</t>
  </si>
  <si>
    <t>SS1075AA25918</t>
  </si>
  <si>
    <t>BHARATHI NAGAR POONGA NAGAR ROAD</t>
  </si>
  <si>
    <t>012-003-2272</t>
  </si>
  <si>
    <t>#AC449</t>
  </si>
  <si>
    <t>SS1075AA26307</t>
  </si>
  <si>
    <t>MAYIYAPPA NAGAR</t>
  </si>
  <si>
    <t>#AD395</t>
  </si>
  <si>
    <t>SS1075AA25681</t>
  </si>
  <si>
    <t>RAMAMURTHY ROAD NEAR TOILET</t>
  </si>
  <si>
    <t>#AC578</t>
  </si>
  <si>
    <t>SS1075AA26876</t>
  </si>
  <si>
    <t>KARPAGAM GARDEN</t>
  </si>
  <si>
    <t>#AE399</t>
  </si>
  <si>
    <t>SS1075AA26270</t>
  </si>
  <si>
    <t>6/13/2026, 9:15:48 AM</t>
  </si>
  <si>
    <t>TEXTOOL COLONY</t>
  </si>
  <si>
    <t>#AF094</t>
  </si>
  <si>
    <t>SS1075AA25908</t>
  </si>
  <si>
    <t>BARATH NAGAR 3RD STREET</t>
  </si>
  <si>
    <t>#AD192</t>
  </si>
  <si>
    <t>SS1075AA25896</t>
  </si>
  <si>
    <t>ANBU NAGAR</t>
  </si>
  <si>
    <t>#AD029</t>
  </si>
  <si>
    <t>SS1075AA26722</t>
  </si>
  <si>
    <t>LEELA APARTMENT</t>
  </si>
  <si>
    <t>#AE428</t>
  </si>
  <si>
    <t>SS1075AA25939</t>
  </si>
  <si>
    <t>BHARATHI ROAD NEAR SK MOBILES</t>
  </si>
  <si>
    <t>#AD148</t>
  </si>
  <si>
    <t>SS1075AA26499</t>
  </si>
  <si>
    <t>AASATH NAGAR</t>
  </si>
  <si>
    <t>#AE302</t>
  </si>
  <si>
    <t>SS1075AA25982</t>
  </si>
  <si>
    <t>6/13/2026, 9:00:37 AM</t>
  </si>
  <si>
    <t>SA GARDEN NEAR FOUR CORNER</t>
  </si>
  <si>
    <t>#AE664</t>
  </si>
  <si>
    <t>SS1075AA26591</t>
  </si>
  <si>
    <t>6/13/2026, 9:00:59 AM</t>
  </si>
  <si>
    <t>RAJIV GANDHI NAGAR - 52</t>
  </si>
  <si>
    <t>#AE031</t>
  </si>
  <si>
    <t>SS1075AA26552</t>
  </si>
  <si>
    <t>MUTHU SAMY COLONY NEAR SELVA STORE</t>
  </si>
  <si>
    <t>#AE023</t>
  </si>
  <si>
    <t>SS1075AA25285</t>
  </si>
  <si>
    <t>CHOKKAMPUDHUR JEEVA PAADHAI</t>
  </si>
  <si>
    <t>#AC970</t>
  </si>
  <si>
    <t>SS1075AA26491</t>
  </si>
  <si>
    <t>RAMAMURTHY ROAD CHOZHAN NAGAR - 29</t>
  </si>
  <si>
    <t>#AE300</t>
  </si>
  <si>
    <t>10 993911</t>
  </si>
  <si>
    <t>SS1075AA26278</t>
  </si>
  <si>
    <t>NARAYANASAMY NAGAR 2</t>
  </si>
  <si>
    <t>#AF045</t>
  </si>
  <si>
    <t>SS1075AA26303</t>
  </si>
  <si>
    <t>NETHAJI AVENUE</t>
  </si>
  <si>
    <t>#AE160</t>
  </si>
  <si>
    <t>SS1075AA26840</t>
  </si>
  <si>
    <t>SARAMEDU OPP TO SAJI SHOP</t>
  </si>
  <si>
    <t>#AE192</t>
  </si>
  <si>
    <t>SS1075AA26691</t>
  </si>
  <si>
    <t>BILAL ESTATE OPP TO A.R APPARTMENT</t>
  </si>
  <si>
    <t>#AE024</t>
  </si>
  <si>
    <t>SS1075AA25873</t>
  </si>
  <si>
    <t>6/13/2026, 9:30:52 AM</t>
  </si>
  <si>
    <t>MUTHUMAARIAMMAN KOVIL VEETHI NEAR TRANSFORMER</t>
  </si>
  <si>
    <t>#AD280</t>
  </si>
  <si>
    <t>SS1075AA26666</t>
  </si>
  <si>
    <t>AMUL NAGAR EXTENSION</t>
  </si>
  <si>
    <t>#AD987</t>
  </si>
  <si>
    <t>SS1075AA25807</t>
  </si>
  <si>
    <t>PARSN SESH NESTLE</t>
  </si>
  <si>
    <t>#AC725</t>
  </si>
  <si>
    <t>SS1075AA26751</t>
  </si>
  <si>
    <t>BHARATHI ROAD</t>
  </si>
  <si>
    <t>#AE153</t>
  </si>
  <si>
    <t>SS1075AA26573</t>
  </si>
  <si>
    <t>VLAAL ESTATE 2ND STREET - 53</t>
  </si>
  <si>
    <t>#AE053</t>
  </si>
  <si>
    <t>SS1075AA26664</t>
  </si>
  <si>
    <t>OLD MARKET PALLIVASAL BACKSIDE - 31</t>
  </si>
  <si>
    <t>#AD952</t>
  </si>
  <si>
    <t>SS1075AA26261</t>
  </si>
  <si>
    <t>PRIYA NAGAR NEAR RATION SHOP</t>
  </si>
  <si>
    <t>#AE976</t>
  </si>
  <si>
    <t>SS1075AA26747</t>
  </si>
  <si>
    <t>THILLAI NAGAR NEAR IRON SHOP</t>
  </si>
  <si>
    <t>#AD747</t>
  </si>
  <si>
    <t>SS1075AA25770</t>
  </si>
  <si>
    <t>RAMAMURTHY ROAD - 30</t>
  </si>
  <si>
    <t>#AD359</t>
  </si>
  <si>
    <t>SS1075AA26731</t>
  </si>
  <si>
    <t>6/13/2026, 9:31:58 AM</t>
  </si>
  <si>
    <t>MASANIAMMAN KOIL ROAD, JEEVA PAADHAI</t>
  </si>
  <si>
    <t>#AE179</t>
  </si>
  <si>
    <t>SS1075AA26662</t>
  </si>
  <si>
    <t>THILLAI NAGAR NEAR TRANSFORMER</t>
  </si>
  <si>
    <t>#AD984</t>
  </si>
  <si>
    <t>SS1075AA26268</t>
  </si>
  <si>
    <t>PERUR ROAD NEAR CHECK POST</t>
  </si>
  <si>
    <t>#AB583</t>
  </si>
  <si>
    <t>SS1075AA25808</t>
  </si>
  <si>
    <t>6/13/2026, 9:33:12 AM</t>
  </si>
  <si>
    <t>ANNAI INDRA NAGAR</t>
  </si>
  <si>
    <t>#AC892</t>
  </si>
  <si>
    <t>SS1075AA26442</t>
  </si>
  <si>
    <t>SRI DHANALAKSHMI GARDEN</t>
  </si>
  <si>
    <t>#AF176</t>
  </si>
  <si>
    <t>SS1075AA26655</t>
  </si>
  <si>
    <t>BILAL ESTATE NEAR STAR BAKERY</t>
  </si>
  <si>
    <t>#AD991</t>
  </si>
  <si>
    <t>SS1075AA26164</t>
  </si>
  <si>
    <t>ARUL NAGAR - 77</t>
  </si>
  <si>
    <t>#AF009</t>
  </si>
  <si>
    <t>SS1075AA26858</t>
  </si>
  <si>
    <t>271, Valangkulam, Coimbatore, Tamil Nadu 641001, India</t>
  </si>
  <si>
    <t>#AM257</t>
  </si>
  <si>
    <t>SS1075AA25986</t>
  </si>
  <si>
    <t>NORTH HOUSING UNIT NEAR DMK MANDRAM - 3</t>
  </si>
  <si>
    <t>#AE117</t>
  </si>
  <si>
    <t>SS1075AA24818</t>
  </si>
  <si>
    <t>RTC</t>
  </si>
  <si>
    <t>CHANDRASEKARAPURAM OPP PARK - 2</t>
  </si>
  <si>
    <t>#AF031</t>
  </si>
  <si>
    <t>SS1075AA26325</t>
  </si>
  <si>
    <t>ABDUL KALAM VEETHI</t>
  </si>
  <si>
    <t>#AF193</t>
  </si>
  <si>
    <t>SS1075AA26765</t>
  </si>
  <si>
    <t>ROSE GARDEN 1ST STREET</t>
  </si>
  <si>
    <t>#AD968</t>
  </si>
  <si>
    <t>SS1075AA27632</t>
  </si>
  <si>
    <t>6/13/2026, 9:01:35 AM</t>
  </si>
  <si>
    <t>MUTHAYA UDAYAR VEEDHI - 49</t>
  </si>
  <si>
    <t>#AE731</t>
  </si>
  <si>
    <t>SS1075AA26180</t>
  </si>
  <si>
    <t>6/13/2026, 9:31:08 AM</t>
  </si>
  <si>
    <t>SLAUDER HOUSE ROAD HOUSING UNIT - 45</t>
  </si>
  <si>
    <t>#AE909</t>
  </si>
  <si>
    <t>SS1075AA24995</t>
  </si>
  <si>
    <t>POONGA NAGAR NEAR TRANSFORMER</t>
  </si>
  <si>
    <t>#AE140</t>
  </si>
  <si>
    <t>SS1075AA25698</t>
  </si>
  <si>
    <t>ARUL NAGAR 2ND STREET - 58</t>
  </si>
  <si>
    <t>#AC534</t>
  </si>
  <si>
    <t>SS1075AA26498</t>
  </si>
  <si>
    <t>SRI SASTHA NAGAR</t>
  </si>
  <si>
    <t>#AE261</t>
  </si>
  <si>
    <t>SS1075AA26496</t>
  </si>
  <si>
    <t>SOWKAR NAGAR 2ND STREET</t>
  </si>
  <si>
    <t>012-003-2283</t>
  </si>
  <si>
    <t>#AE237</t>
  </si>
  <si>
    <t>SS1075AA25054</t>
  </si>
  <si>
    <t>BARATH NAGAR 2ND STREET - 65</t>
  </si>
  <si>
    <t>#AD465</t>
  </si>
  <si>
    <t>SS1075AA26557</t>
  </si>
  <si>
    <t>6/3/2026, 6:01:37 AM</t>
  </si>
  <si>
    <t>236/3, 236/3, Mathina Nagar, Tippu Nagar, Kurichi, Tamil Nadu 641024, India</t>
  </si>
  <si>
    <t>#AE012</t>
  </si>
  <si>
    <t>SS1075AA27723</t>
  </si>
  <si>
    <t>VEDDAPATTI ROAD NEAR VINAYAGAR KOVIL</t>
  </si>
  <si>
    <t>#AF220</t>
  </si>
  <si>
    <t>SS1075AA25745</t>
  </si>
  <si>
    <t>6/13/2026, 9:14:39 AM</t>
  </si>
  <si>
    <t>BRINDHAVAN GARDEN</t>
  </si>
  <si>
    <t>#AD427</t>
  </si>
  <si>
    <t>SS1075AA27738</t>
  </si>
  <si>
    <t>AYYAPANNADI STREET 2</t>
  </si>
  <si>
    <t>#AF210</t>
  </si>
  <si>
    <t>SS1075AA26318</t>
  </si>
  <si>
    <t>CJ NAGAR</t>
  </si>
  <si>
    <t>013-015-365</t>
  </si>
  <si>
    <t>#AF082</t>
  </si>
  <si>
    <t>SS1075AA26429</t>
  </si>
  <si>
    <t>ARUMUGAM LAY OUT</t>
  </si>
  <si>
    <t>#AF177</t>
  </si>
  <si>
    <t>SS1075AA26537</t>
  </si>
  <si>
    <t>ALMIN NAGAR 3RD STREET</t>
  </si>
  <si>
    <t>#AE306</t>
  </si>
  <si>
    <t>SS1075AA26234</t>
  </si>
  <si>
    <t>6/13/2026, 9:14:41 AM</t>
  </si>
  <si>
    <t>M G R NAGAR</t>
  </si>
  <si>
    <t>#AF001</t>
  </si>
  <si>
    <t>SS1075AA26399</t>
  </si>
  <si>
    <t>THIRUVENGADAM STREET</t>
  </si>
  <si>
    <t>#AF128</t>
  </si>
  <si>
    <t>SS1075AA26339</t>
  </si>
  <si>
    <t>MANIYAKARA THOTTAM</t>
  </si>
  <si>
    <t>#AF038</t>
  </si>
  <si>
    <t>SS1075AA27588</t>
  </si>
  <si>
    <t>NORTH HOUSING UNIT SELVAPURAM - 42</t>
  </si>
  <si>
    <t>#AE193</t>
  </si>
  <si>
    <t>SS1075AA26824</t>
  </si>
  <si>
    <t>6/13/2026, 9:30:58 AM</t>
  </si>
  <si>
    <t>BARATH NAGAR 4TH STREET - 71</t>
  </si>
  <si>
    <t>012-003-2275</t>
  </si>
  <si>
    <t>#AE371</t>
  </si>
  <si>
    <t>SS1075AA26348</t>
  </si>
  <si>
    <t>#AF066</t>
  </si>
  <si>
    <t>SS1075AA26051</t>
  </si>
  <si>
    <t>SUBRAMANIA UDAYAR VEETHI - 58</t>
  </si>
  <si>
    <t>#AF007</t>
  </si>
  <si>
    <t>SS1075AA27595</t>
  </si>
  <si>
    <t>AZAAD NAGAR 5TH STREET - 20</t>
  </si>
  <si>
    <t>#AE122</t>
  </si>
  <si>
    <t>SS1075AA26066</t>
  </si>
  <si>
    <t>6/13/2026, 9:30:11 AM</t>
  </si>
  <si>
    <t>NORTH HOUSING UNIT VENNILA HOSPITAL ROAD - 5</t>
  </si>
  <si>
    <t>#AE636</t>
  </si>
  <si>
    <t>SS1075AA26276</t>
  </si>
  <si>
    <t>NEADUSEALIYAN STREET</t>
  </si>
  <si>
    <t>#AF014</t>
  </si>
  <si>
    <t>SS1075AA26827</t>
  </si>
  <si>
    <t>EZHL NAGAR NEAR HOUSING UNIT - 4</t>
  </si>
  <si>
    <t>#AE185</t>
  </si>
  <si>
    <t>SS1075AA26378</t>
  </si>
  <si>
    <t>6/13/2026, 9:14:38 AM</t>
  </si>
  <si>
    <t>MARTIN APARTMENT ROAD NEAR RMCH HOSPITAL</t>
  </si>
  <si>
    <t>#AF017</t>
  </si>
  <si>
    <t>SS1075AA26721</t>
  </si>
  <si>
    <t>6/13/2026, 9:16:09 AM</t>
  </si>
  <si>
    <t>LIC COLONY WATER TANK</t>
  </si>
  <si>
    <t>#AE651</t>
  </si>
  <si>
    <t>SS1075AA26264</t>
  </si>
  <si>
    <t>THIRUVIKA NAGAR</t>
  </si>
  <si>
    <t>#AE229</t>
  </si>
  <si>
    <t>SS1075AA27601</t>
  </si>
  <si>
    <t>SAROJINI NAGAR NEAR VINAYAGAR TEMPLE</t>
  </si>
  <si>
    <t>#AA159</t>
  </si>
  <si>
    <t>SS1075AA26658</t>
  </si>
  <si>
    <t>FISH MARKET NEAR MOSQUE - 36</t>
  </si>
  <si>
    <t>#AN439</t>
  </si>
  <si>
    <t>SS1075AA27612</t>
  </si>
  <si>
    <t>6/13/2026, 8:30:39 AM</t>
  </si>
  <si>
    <t>SELVAPURAM TO PERUR ROAD OPP KKB GOLD COVERING - 11</t>
  </si>
  <si>
    <t>#AE418</t>
  </si>
  <si>
    <t>SS1075AA26274</t>
  </si>
  <si>
    <t>6/13/2026, 9:01:23 AM</t>
  </si>
  <si>
    <t>#AF052</t>
  </si>
  <si>
    <t>SS1075AA27617</t>
  </si>
  <si>
    <t>RAMAMURTHY ROAD OPP SBI ATM - 6</t>
  </si>
  <si>
    <t>#AE443</t>
  </si>
  <si>
    <t>SS1075AA26029</t>
  </si>
  <si>
    <t>100.VELAYAN NAGAR</t>
  </si>
  <si>
    <t>#AE834</t>
  </si>
  <si>
    <t>SSC1074A14406</t>
  </si>
  <si>
    <t>kallamedu main road,Kallamedu,,XWMV+96G,sundakkamuthur Rd,Kurinji Garden,Selvapuram South,Coimbatore,Tamil Nadu 641026,India</t>
  </si>
  <si>
    <t>#BJ625</t>
  </si>
  <si>
    <t>SS1075AA38001</t>
  </si>
  <si>
    <t>Perur, Coimbatore, Tamil Nadu, India, 641008,</t>
  </si>
  <si>
    <t>#AO208</t>
  </si>
  <si>
    <t>SSC1074A14398</t>
  </si>
  <si>
    <t>cheran nagar anna colony,20E,Coimbatore,Tamil Nadu 641008,India</t>
  </si>
  <si>
    <t>#BJ679</t>
  </si>
  <si>
    <t>SSC1074A14534</t>
  </si>
  <si>
    <t>sathiya nagar,961,Poyer St,North Housing Unit,IUDP Colony,Selvapuram North,Coimbatore,Tamil Nadu 641026,India</t>
  </si>
  <si>
    <t>#BJ634</t>
  </si>
  <si>
    <t>SSC1074A14412</t>
  </si>
  <si>
    <t>Rayal nagar,13,near ARFA store,Tippu Nagar,Karumbukkadai,Coimbatore,Tamil Nadu 641023,India</t>
  </si>
  <si>
    <t>#BJ705</t>
  </si>
  <si>
    <t>SS1075AA37990</t>
  </si>
  <si>
    <t>#AO038</t>
  </si>
  <si>
    <t>SS1075AA37953</t>
  </si>
  <si>
    <t>Soth Ukkadam, Anbu Nagar, Podanur</t>
  </si>
  <si>
    <t>#AN979</t>
  </si>
  <si>
    <t>SSC1074A14387</t>
  </si>
  <si>
    <t>ROC / MCB</t>
  </si>
  <si>
    <t>min mayanam,XWMR+F9C,Selvapuram Muthuswamy Colony,Selvapuram South,Coimbatore,Tamil Nadu 641026,India</t>
  </si>
  <si>
    <t>#BJ650</t>
  </si>
  <si>
    <t>SSC1074A14400</t>
  </si>
  <si>
    <t>XWRM+847,Golden Nagar,Selvapuram North,Coimbatore,Tamil Nadu 641026,India</t>
  </si>
  <si>
    <t>#BJ507</t>
  </si>
  <si>
    <t>SS1075AA38022</t>
  </si>
  <si>
    <t>#AO190</t>
  </si>
  <si>
    <t>SS1075AA13385</t>
  </si>
  <si>
    <t>6/12/2026, 9:31:56 PM</t>
  </si>
  <si>
    <t>kallamedu housing unit,Selvapuram South,Coimbatore,Tamil Nadu,India,641026</t>
  </si>
  <si>
    <t>#AO128</t>
  </si>
  <si>
    <t>SSC1074A14389</t>
  </si>
  <si>
    <t>jk garden ,1/1,G.M NAGAR,JK Garden,Raha Avenue,Ukkadam,Coimbatore,Tamil Nadu 641023,India</t>
  </si>
  <si>
    <t>#BJ668</t>
  </si>
  <si>
    <t>SSC1074A14403</t>
  </si>
  <si>
    <t>KG layout 3street,53,k,g.layout,1st St,Coimbatore,Tamil Nadu 641023,India</t>
  </si>
  <si>
    <t>#BJ686</t>
  </si>
  <si>
    <t>SSC1074A14396</t>
  </si>
  <si>
    <t>Sarojini nagar,1/B,Selvapuram Muthuswamy Colony,Selvapuram South,Coimbatore,Tamil Nadu 641026,India</t>
  </si>
  <si>
    <t>#BJ651</t>
  </si>
  <si>
    <t>SSC1074A14391</t>
  </si>
  <si>
    <t>6/13/2026, 9:31:39 AM</t>
  </si>
  <si>
    <t>salamath nagar,Masjidul Ihsan,1/39,Karumbukkadai,Coimbatore,Tamil Nadu 641023,India</t>
  </si>
  <si>
    <t>#BJ687</t>
  </si>
  <si>
    <t>SSC1074A14404</t>
  </si>
  <si>
    <t>6/13/2026, 9:31:40 AM</t>
  </si>
  <si>
    <t>kg layout,206,Saramedu Rd,Rayal Nagar,Kurichchi,Coimbatore,Tamil Nadu 641023,India</t>
  </si>
  <si>
    <t>#BJ307</t>
  </si>
  <si>
    <t>SSC1074A14430</t>
  </si>
  <si>
    <t>XWQM+RPG,Selvapuram North,Coimbatore,Tamil Nadu 641026,India</t>
  </si>
  <si>
    <t>#BJ394</t>
  </si>
  <si>
    <t>SSC1074A14405</t>
  </si>
  <si>
    <t>6/13/2026, 9:30:25 AM</t>
  </si>
  <si>
    <t>idp colony back side,XWRV+FH7 Tamil Nadu Housing Board Colony,50/247,North Housing Unit,TNHB,Selvapuram North,Coimbatore,Tamil Nadu 641026,India</t>
  </si>
  <si>
    <t>#BJ494</t>
  </si>
  <si>
    <t>SSC1074A14395</t>
  </si>
  <si>
    <t>kallamadu new housing unit,220,Kallamedu,Kurinji Garden,Selvapuram South,Coimbatore,Tamil Nadu 641026,India</t>
  </si>
  <si>
    <t>#BJ623</t>
  </si>
  <si>
    <t>SSC1074A14394</t>
  </si>
  <si>
    <t>Billal estate ,59,Lorry Pettai,Coimbatore,Tamil Nadu 641023,India</t>
  </si>
  <si>
    <t>#BJ674</t>
  </si>
  <si>
    <t>SSC1074A14431</t>
  </si>
  <si>
    <t>4/30/2026, 3:38:20 PM</t>
  </si>
  <si>
    <t>sowkar nagar2 street,Saukar nagar,2nd St,Coimbatore,Tamil Nadu 641008,India</t>
  </si>
  <si>
    <t>#BJ223</t>
  </si>
  <si>
    <t>SSC1074A14392</t>
  </si>
  <si>
    <t>6/13/2026, 9:31:42 AM</t>
  </si>
  <si>
    <t>lic colony dor numder 23,16/17,LIC Colony Rd,Lic Colony,Selvapuram Muthuswamy Colony,Selvapuram South,Coimbatore,Tamil Nadu 641026,India</t>
  </si>
  <si>
    <t>#BJ685</t>
  </si>
  <si>
    <t>SSC1074A14393</t>
  </si>
  <si>
    <t>shanmugarajapuram,Tamil Nadu Housing Board Colony,92/76,Shanmugarajapuram,TNHB,Selvapuram North,Coimbatore,Tamil Nadu 641026,India</t>
  </si>
  <si>
    <t>#BJ334</t>
  </si>
  <si>
    <t>SSC1074A14401</t>
  </si>
  <si>
    <t>dobikannana ,2W2Q+JG9,Shanmuga Nagar,Selvapuram North,Ponnaiah Raja Puram,Coimbatore,Tamil Nadu 641039,India</t>
  </si>
  <si>
    <t>#BJ241</t>
  </si>
  <si>
    <t>SSC1074A14432</t>
  </si>
  <si>
    <t>Amulgarden,60B,Selvapuram North,Coimbatore,Tamil Nadu 641026,India</t>
  </si>
  <si>
    <t>#BJ237</t>
  </si>
  <si>
    <t>SSC1074A12378</t>
  </si>
  <si>
    <t>6/13/2026, 9:15:12 AM</t>
  </si>
  <si>
    <t>perur main road near jJ.R bakes,Selvapuram South,Coimbatore,Perur Main Road,Tamil Nadu,India,641008</t>
  </si>
  <si>
    <t>#BD046</t>
  </si>
  <si>
    <t>SSC1074A14408</t>
  </si>
  <si>
    <t>Nanjappagarden,41,Periya Thambi Nagar,Selvapuram North,Coimbatore,Tamil Nadu 641026,India</t>
  </si>
  <si>
    <t>#BJ636</t>
  </si>
  <si>
    <t>SSC1074A14397</t>
  </si>
  <si>
    <t>Almeen colony 2street,23,Lorry Pettai Rd,Rose Garden,South Ukkadam,Coimbatore,Tamil Nadu 641023,India</t>
  </si>
  <si>
    <t>#BJ696</t>
  </si>
  <si>
    <t>SS1075AA37950</t>
  </si>
  <si>
    <t>#AO027</t>
  </si>
  <si>
    <t>Date</t>
  </si>
  <si>
    <t>CCMS ID</t>
  </si>
  <si>
    <t>Region</t>
  </si>
  <si>
    <t>Connected Load</t>
  </si>
  <si>
    <t>Recorded Load</t>
  </si>
  <si>
    <t>Non Burning Load</t>
  </si>
  <si>
    <t>No. of Lights Connected</t>
  </si>
  <si>
    <t>No. of Non Burning Lights</t>
  </si>
  <si>
    <t>% Non Burning</t>
  </si>
  <si>
    <t>Burning %</t>
  </si>
  <si>
    <t>CJB</t>
  </si>
  <si>
    <t>-</t>
  </si>
  <si>
    <t>GPS Coordinates</t>
  </si>
  <si>
    <t>10.9903079,76.9291951</t>
  </si>
  <si>
    <t>10.993676,76.9403492</t>
  </si>
  <si>
    <t>10.9884431,76.9659262</t>
  </si>
  <si>
    <t>10.9873756,76.9356072</t>
  </si>
  <si>
    <t>10.9847517,76.9627162</t>
  </si>
  <si>
    <t>10.9989722,76.9439515</t>
  </si>
  <si>
    <t>10.9821912,76.9337252</t>
  </si>
  <si>
    <t>10.9776211,76.9643055</t>
  </si>
  <si>
    <t>10.9882829,76.9438026</t>
  </si>
  <si>
    <t>10.9883962,76.9364034</t>
  </si>
  <si>
    <t>10.9925538,76.9333719</t>
  </si>
  <si>
    <t>10.9852654,76.9343564</t>
  </si>
  <si>
    <t>10.9942159,76.9334381</t>
  </si>
  <si>
    <t>11.1516105,76.9462616</t>
  </si>
  <si>
    <t>10.9927574,76.9261934</t>
  </si>
  <si>
    <t>10.9893936,76.9402204</t>
  </si>
  <si>
    <t>10.9912472,76.9268314</t>
  </si>
  <si>
    <t>10.9923384,76.9256969</t>
  </si>
  <si>
    <t>10.9863992,76.9666464</t>
  </si>
  <si>
    <t>10.9849674,76.9396106</t>
  </si>
  <si>
    <t>10.9862446,76.9652678</t>
  </si>
  <si>
    <t>10.9993949,76.939544</t>
  </si>
  <si>
    <t>10.9874603,76.9368537</t>
  </si>
  <si>
    <t>10.9874916,76.9348229</t>
  </si>
  <si>
    <t>10.9927596,76.9336533</t>
  </si>
  <si>
    <t>10.9972893,76.9341697</t>
  </si>
  <si>
    <t>10.9905969,76.9393719</t>
  </si>
  <si>
    <t>10.9925617,76.9414287</t>
  </si>
  <si>
    <t>10.9865748,76.9630602</t>
  </si>
  <si>
    <t>10.994771,76.939224</t>
  </si>
  <si>
    <t>10.9880337,76.9370186</t>
  </si>
  <si>
    <t>10.989351,76.9446022</t>
  </si>
  <si>
    <t>10.9832679,76.9220393</t>
  </si>
  <si>
    <t>10.989034,76.9425304</t>
  </si>
  <si>
    <t>10.985151,76.9409316</t>
  </si>
  <si>
    <t>10.9821629,76.9668767</t>
  </si>
  <si>
    <t>10.9905285,76.9263138</t>
  </si>
  <si>
    <t>10.9906365,76.9446366</t>
  </si>
  <si>
    <t>10.9979579,76.9424159</t>
  </si>
  <si>
    <t>10.9875084,76.9363982</t>
  </si>
  <si>
    <t>10.994898,76.940806</t>
  </si>
  <si>
    <t>10.9894647,76.9269006</t>
  </si>
  <si>
    <t>10.9906981,76.9318019</t>
  </si>
  <si>
    <t>10.9966747,76.9304672</t>
  </si>
  <si>
    <t>10.9788766,76.9609776</t>
  </si>
  <si>
    <t>10.9943734,76.9423969</t>
  </si>
  <si>
    <t>10.976352,76.962487</t>
  </si>
  <si>
    <t>10.98611,76.967005</t>
  </si>
  <si>
    <t>10.9944857,76.9274721</t>
  </si>
  <si>
    <t>10.9956588,76.9322413</t>
  </si>
  <si>
    <t>10.9831965,76.9358268</t>
  </si>
  <si>
    <t>10.9925689,76.9414401</t>
  </si>
  <si>
    <t>10.9878764,76.9417534</t>
  </si>
  <si>
    <t>10.9891972,76.9673665</t>
  </si>
  <si>
    <t>10.9988459,76.9406851</t>
  </si>
  <si>
    <t>10.9788942,76.9618392</t>
  </si>
  <si>
    <t>10.9940146,76.9325899</t>
  </si>
  <si>
    <t>10.9945508,76.9299399</t>
  </si>
  <si>
    <t>10.9964034,76.9397842</t>
  </si>
  <si>
    <t>11.0009377,76.9426883</t>
  </si>
  <si>
    <t>10.9841488,76.9310848</t>
  </si>
  <si>
    <t>10.9925768,76.9445452</t>
  </si>
  <si>
    <t>10.9996406,76.9445168</t>
  </si>
  <si>
    <t>11.0004937,76.9423675</t>
  </si>
  <si>
    <t>10.9848909,76.9644203</t>
  </si>
  <si>
    <t>10.9861989,76.964765</t>
  </si>
  <si>
    <t>10.9788492,76.9641918</t>
  </si>
  <si>
    <t>10.9819855,76.9644641</t>
  </si>
  <si>
    <t>10.983749,76.962895</t>
  </si>
  <si>
    <t>10.9815903,76.9652494</t>
  </si>
  <si>
    <t>10.981724,76.9701781</t>
  </si>
  <si>
    <t>10.9880762,76.9415459</t>
  </si>
  <si>
    <t>10.9843051,76.9285024</t>
  </si>
  <si>
    <t>10.9914604,76.9339719</t>
  </si>
  <si>
    <t>11.0128164,76.9403724</t>
  </si>
  <si>
    <t>10.99421,76.94068</t>
  </si>
  <si>
    <t>10.9773,76.96241</t>
  </si>
  <si>
    <t>10.9823328,76.9328251</t>
  </si>
  <si>
    <t>10.9866539,76.9630701</t>
  </si>
  <si>
    <t>10.9879763,76.93509</t>
  </si>
  <si>
    <t>10.9848862,76.9236179</t>
  </si>
  <si>
    <t>10.9883877,76.9407198</t>
  </si>
  <si>
    <t>10.9758094,76.9646614</t>
  </si>
  <si>
    <t>11.0003654,76.9457615</t>
  </si>
  <si>
    <t>10.997125,76.9348448</t>
  </si>
  <si>
    <t>10.9752498,76.963091</t>
  </si>
  <si>
    <t>10.9825977,76.9214915</t>
  </si>
  <si>
    <t>10.9857101,76.9633135</t>
  </si>
  <si>
    <t>10.9926304,76.9244517</t>
  </si>
  <si>
    <t>10.9956964,76.9322111</t>
  </si>
  <si>
    <t>10.9840088,76.9327307</t>
  </si>
  <si>
    <t>10.9889537,76.9359149</t>
  </si>
  <si>
    <t>10.9819419,76.9642509</t>
  </si>
  <si>
    <t>10.9943292,76.9424954</t>
  </si>
  <si>
    <t>10.993902,76.9304585</t>
  </si>
  <si>
    <t>10.9900569,76.9347638</t>
  </si>
  <si>
    <t>10.9915191,76.9275564</t>
  </si>
  <si>
    <t>10 993911,76.9406</t>
  </si>
  <si>
    <t>10.9914485,76.9446474</t>
  </si>
  <si>
    <t>11.0007716,76.9416228</t>
  </si>
  <si>
    <t>10.9901153,76.9344221</t>
  </si>
  <si>
    <t>10.9855138,76.936908</t>
  </si>
  <si>
    <t>10.9914591,76.9447028</t>
  </si>
  <si>
    <t>10.9843024,76.9342373</t>
  </si>
  <si>
    <t>10.9897383,76.9377313</t>
  </si>
  <si>
    <t>10.9932413,76.9295747</t>
  </si>
  <si>
    <t>10.9946011,76.9303481</t>
  </si>
  <si>
    <t>10.9759187,76.9580499</t>
  </si>
  <si>
    <t>10.9994451,76.9424463</t>
  </si>
  <si>
    <t>10.9782171,76.960011</t>
  </si>
  <si>
    <t>11.0004666,76.9375015</t>
  </si>
  <si>
    <t>10.9895615,76.9410238</t>
  </si>
  <si>
    <t>10.9866344,76.9389306</t>
  </si>
  <si>
    <t>10.9898814,76.9249746</t>
  </si>
  <si>
    <t>10.984982,76.9331204</t>
  </si>
  <si>
    <t>10.9958716,76.9404715</t>
  </si>
  <si>
    <t>10.9872164,76.940988</t>
  </si>
  <si>
    <t>10.9933058,76.9412596</t>
  </si>
  <si>
    <t>10.9894354,76.9354688</t>
  </si>
  <si>
    <t>10.9914125,76.9410755</t>
  </si>
  <si>
    <t>10.9840218,76.9243296</t>
  </si>
  <si>
    <t>10.9848227,76.9369289</t>
  </si>
  <si>
    <t>10.9779889,76.9587065</t>
  </si>
  <si>
    <t>10.9952628,76.9282232</t>
  </si>
  <si>
    <t>10.9863095,77.0012327</t>
  </si>
  <si>
    <t>10.98257,76.9269073</t>
  </si>
  <si>
    <t>10.9757671,76.9638703</t>
  </si>
  <si>
    <t>10.9814989,76.967492</t>
  </si>
  <si>
    <t>10.9761853,76.9629075</t>
  </si>
  <si>
    <t>10.9908551,76.9419362</t>
  </si>
  <si>
    <t>10.9909213,76.9273943</t>
  </si>
  <si>
    <t>10.9808406,76.9683412</t>
  </si>
  <si>
    <t>10.9853727,76.9353894</t>
  </si>
  <si>
    <t>10.9907233,76.9415771</t>
  </si>
  <si>
    <t>10.9761142,76.9580127</t>
  </si>
  <si>
    <t>10.9967148,76.9426004</t>
  </si>
  <si>
    <t>10.9991226,76.9443136</t>
  </si>
  <si>
    <t>10.985578,76.96339</t>
  </si>
  <si>
    <t>10.9981843,76.9400815</t>
  </si>
  <si>
    <t>10.9896455,76.930037</t>
  </si>
  <si>
    <t>10.9986993,76.9296975</t>
  </si>
  <si>
    <t>10.9918878,76.944137</t>
  </si>
  <si>
    <t>10.9764921,76.9636333</t>
  </si>
  <si>
    <t>10.9744557,76.9654212</t>
  </si>
  <si>
    <t>10.9788816,76.9632119</t>
  </si>
  <si>
    <t>10.9835529,76.963444</t>
  </si>
  <si>
    <t>10.996705,76.9331569</t>
  </si>
  <si>
    <t>10.9847612,76.9376165</t>
  </si>
  <si>
    <t>10.9980801,76.9460776</t>
  </si>
  <si>
    <t>10.9936267,76.9434278</t>
  </si>
  <si>
    <t>10.9966426,76.9284727</t>
  </si>
  <si>
    <t>11.0456256,76.979931</t>
  </si>
  <si>
    <t>10.9905614,76.9429025</t>
  </si>
  <si>
    <t>10.9917652,76.9381238</t>
  </si>
  <si>
    <t>10.9966285,76.9410946</t>
  </si>
  <si>
    <t>10.9993543,76.9453955</t>
  </si>
  <si>
    <t>10.9867175,76.9226713</t>
  </si>
  <si>
    <t>10.9869544,76.9269273</t>
  </si>
  <si>
    <t>10.9998334,76.9366315</t>
  </si>
  <si>
    <t>10.9764428,76.9579667</t>
  </si>
  <si>
    <t>1-3458244127851</t>
  </si>
  <si>
    <t>Chennai-IoT</t>
  </si>
  <si>
    <t>MF2633I015457689</t>
  </si>
  <si>
    <t>RCCL-IoT</t>
  </si>
  <si>
    <t>Vellore IoT</t>
  </si>
  <si>
    <t>MF2633I017145179</t>
  </si>
  <si>
    <t>MF2633I014617590</t>
  </si>
  <si>
    <t>CSML IoT</t>
  </si>
  <si>
    <t>MF2633I016339176</t>
  </si>
  <si>
    <t>Schnell Office Number</t>
  </si>
  <si>
    <t>MF2633I016301662</t>
  </si>
  <si>
    <t>Sunrider Solar project-Customer Support </t>
  </si>
  <si>
    <t>MF2733I000763078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</si>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</sst>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000000"/>
      <name val="Cambria"/>
      <family val="1"/>
    </font>
    <font>
      <sz val="9"/>
      <color rgb="FF0C0F12"/>
      <name val="Cambria"/>
      <family val="1"/>
    </font>
    <font>
      <sz val="11"/>
      <color rgb="FF000000"/>
      <name val="Calibri"/>
      <family val="2"/>
    </font>
    <font>
      <b/>
      <sz val="9"/>
      <color rgb="FF000000"/>
      <name val="Cambria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19" fillId="0" borderId="0" xfId="0" applyFont="1" applyAlignment="1">
      <alignment wrapText="1"/>
    </xf>
    <xf numFmtId="0" fontId="18" fillId="0" borderId="0" xfId="0" applyFont="1" applyAlignment="1">
      <alignment wrapText="1"/>
    </xf>
    <xf numFmtId="9" fontId="0" fillId="0" borderId="0" xfId="1" applyFont="1"/>
    <xf numFmtId="15" fontId="0" fillId="0" borderId="0" xfId="0" applyNumberForma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19" fillId="0" borderId="0" xfId="0" applyFont="1" applyAlignment="1">
      <alignment horizontal="center" wrapText="1"/>
    </xf>
    <xf numFmtId="15" fontId="0" fillId="0" borderId="0" xfId="0" applyNumberFormat="1" applyAlignment="1">
      <alignment horizontal="center"/>
    </xf>
    <xf numFmtId="17" fontId="20" fillId="0" borderId="10" xfId="0" applyNumberFormat="1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10" xfId="0" applyFont="1" applyBorder="1" applyAlignment="1">
      <alignment horizontal="center" wrapText="1"/>
    </xf>
    <xf numFmtId="0" fontId="23" fillId="0" borderId="11" xfId="0" applyFont="1" applyBorder="1" applyAlignment="1">
      <alignment horizontal="center" vertical="center" wrapText="1"/>
    </xf>
    <xf numFmtId="17" fontId="20" fillId="0" borderId="13" xfId="0" applyNumberFormat="1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17" fontId="20" fillId="0" borderId="15" xfId="0" applyNumberFormat="1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wrapText="1"/>
    </xf>
    <xf numFmtId="0" fontId="20" fillId="0" borderId="15" xfId="0" applyFont="1" applyBorder="1" applyAlignment="1">
      <alignment horizontal="center" vertical="center" wrapText="1"/>
    </xf>
    <xf numFmtId="0" fontId="20" fillId="33" borderId="15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B6F9-AAA6-4812-8843-1A20E1513566}">
  <sheetPr filterMode="1"/>
  <dimension ref="A1:Z260"/>
  <sheetViews>
    <sheetView topLeftCell="G1" workbookViewId="0">
      <selection activeCell="X1" sqref="X1:Y1"/>
    </sheetView>
  </sheetViews>
  <sheetFormatPr defaultRowHeight="15" customHeight="1" x14ac:dyDescent="0.25"/>
  <cols>
    <col min="1" max="1" width="13.85546875" bestFit="1" customWidth="1"/>
    <col min="2" max="2" width="13.85546875" customWidth="1"/>
    <col min="3" max="3" width="11.42578125" bestFit="1" customWidth="1"/>
    <col min="4" max="4" width="10.42578125" bestFit="1" customWidth="1"/>
    <col min="5" max="5" width="20.42578125" bestFit="1" customWidth="1"/>
    <col min="6" max="8" width="8.5703125" bestFit="1" customWidth="1"/>
    <col min="9" max="11" width="8" bestFit="1" customWidth="1"/>
    <col min="12" max="14" width="10.140625" bestFit="1" customWidth="1"/>
    <col min="15" max="15" width="18.7109375" bestFit="1" customWidth="1"/>
    <col min="16" max="16" width="7.5703125" bestFit="1" customWidth="1"/>
    <col min="17" max="17" width="5" bestFit="1" customWidth="1"/>
    <col min="18" max="18" width="7.5703125" bestFit="1" customWidth="1"/>
    <col min="19" max="19" width="36.5703125" bestFit="1" customWidth="1"/>
    <col min="20" max="20" width="11.7109375" bestFit="1" customWidth="1"/>
    <col min="21" max="21" width="12.140625" bestFit="1" customWidth="1"/>
    <col min="22" max="22" width="11" bestFit="1" customWidth="1"/>
    <col min="23" max="23" width="16.140625" bestFit="1" customWidth="1"/>
    <col min="24" max="24" width="15.85546875" bestFit="1" customWidth="1"/>
    <col min="25" max="25" width="17.28515625" bestFit="1" customWidth="1"/>
    <col min="26" max="26" width="28.42578125" bestFit="1" customWidth="1"/>
  </cols>
  <sheetData>
    <row r="1" spans="1:26" ht="15" customHeight="1" x14ac:dyDescent="0.25">
      <c r="A1" s="2" t="s">
        <v>0</v>
      </c>
      <c r="B1" s="2"/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15" customHeight="1" x14ac:dyDescent="0.25">
      <c r="A2" s="3" t="s">
        <v>25</v>
      </c>
      <c r="B2" s="3">
        <f>COUNTIFS(Sheet1!B:B,'Entities table_CCMS Panel View'!A2)</f>
        <v>0</v>
      </c>
      <c r="C2" s="3" t="s">
        <v>26</v>
      </c>
      <c r="D2" s="3" t="s">
        <v>27</v>
      </c>
      <c r="E2" s="3" t="s">
        <v>28</v>
      </c>
      <c r="F2" s="3">
        <v>227.73</v>
      </c>
      <c r="G2" s="3">
        <v>0</v>
      </c>
      <c r="H2" s="3">
        <v>0</v>
      </c>
      <c r="I2" s="3">
        <v>0.06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1"/>
      <c r="P2" s="3" t="s">
        <v>29</v>
      </c>
      <c r="Q2" s="3" t="s">
        <v>30</v>
      </c>
      <c r="R2" s="3" t="s">
        <v>31</v>
      </c>
      <c r="S2" s="3" t="s">
        <v>32</v>
      </c>
      <c r="T2" s="3">
        <v>5755183074694</v>
      </c>
      <c r="U2" s="1"/>
      <c r="V2" s="3" t="s">
        <v>33</v>
      </c>
      <c r="W2" s="3">
        <v>0.06</v>
      </c>
      <c r="X2" s="3">
        <v>10.985345000000001</v>
      </c>
      <c r="Y2" s="3">
        <v>76.922437200000005</v>
      </c>
      <c r="Z2" s="3" t="s">
        <v>34</v>
      </c>
    </row>
    <row r="3" spans="1:26" ht="15" hidden="1" customHeight="1" x14ac:dyDescent="0.25">
      <c r="A3" s="3" t="s">
        <v>35</v>
      </c>
      <c r="B3" s="3">
        <f>COUNTIFS(Sheet1!B:B,'Entities table_CCMS Panel View'!A3)</f>
        <v>1</v>
      </c>
      <c r="C3" s="3" t="s">
        <v>26</v>
      </c>
      <c r="D3" s="3" t="s">
        <v>27</v>
      </c>
      <c r="E3" s="3" t="s">
        <v>36</v>
      </c>
      <c r="F3" s="3">
        <v>224.41</v>
      </c>
      <c r="G3" s="3">
        <v>0</v>
      </c>
      <c r="H3" s="3">
        <v>0</v>
      </c>
      <c r="I3" s="3">
        <v>0.05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1"/>
      <c r="P3" s="3" t="s">
        <v>29</v>
      </c>
      <c r="Q3" s="3" t="s">
        <v>30</v>
      </c>
      <c r="R3" s="3" t="s">
        <v>37</v>
      </c>
      <c r="S3" s="3" t="s">
        <v>38</v>
      </c>
      <c r="T3" s="3">
        <v>5755183039783</v>
      </c>
      <c r="U3" s="1"/>
      <c r="V3" s="3" t="s">
        <v>39</v>
      </c>
      <c r="W3" s="3">
        <v>0.05</v>
      </c>
      <c r="X3" s="3">
        <v>10.9914591</v>
      </c>
      <c r="Y3" s="3">
        <v>76.944702800000002</v>
      </c>
      <c r="Z3" s="3" t="s">
        <v>34</v>
      </c>
    </row>
    <row r="4" spans="1:26" ht="15" hidden="1" customHeight="1" x14ac:dyDescent="0.25">
      <c r="A4" s="3" t="s">
        <v>40</v>
      </c>
      <c r="B4" s="3">
        <f>COUNTIFS(Sheet1!B:B,'Entities table_CCMS Panel View'!A4)</f>
        <v>1</v>
      </c>
      <c r="C4" s="3" t="s">
        <v>26</v>
      </c>
      <c r="D4" s="3" t="s">
        <v>27</v>
      </c>
      <c r="E4" s="3" t="s">
        <v>41</v>
      </c>
      <c r="F4" s="3">
        <v>231.38</v>
      </c>
      <c r="G4" s="3">
        <v>0</v>
      </c>
      <c r="H4" s="3">
        <v>0</v>
      </c>
      <c r="I4" s="3">
        <v>0.04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1"/>
      <c r="P4" s="3" t="s">
        <v>29</v>
      </c>
      <c r="Q4" s="3" t="s">
        <v>30</v>
      </c>
      <c r="R4" s="3" t="s">
        <v>42</v>
      </c>
      <c r="S4" s="3" t="s">
        <v>43</v>
      </c>
      <c r="T4" s="1"/>
      <c r="U4" s="1"/>
      <c r="V4" s="3" t="s">
        <v>44</v>
      </c>
      <c r="W4" s="3">
        <v>0.04</v>
      </c>
      <c r="X4" s="3">
        <v>10.9791534</v>
      </c>
      <c r="Y4" s="3">
        <v>76.964518100000006</v>
      </c>
      <c r="Z4" s="3" t="s">
        <v>45</v>
      </c>
    </row>
    <row r="5" spans="1:26" ht="15" customHeight="1" x14ac:dyDescent="0.25">
      <c r="A5" s="3" t="s">
        <v>46</v>
      </c>
      <c r="B5" s="3">
        <f>COUNTIFS(Sheet1!B:B,'Entities table_CCMS Panel View'!A5)</f>
        <v>0</v>
      </c>
      <c r="C5" s="3" t="s">
        <v>26</v>
      </c>
      <c r="D5" s="3" t="s">
        <v>27</v>
      </c>
      <c r="E5" s="3" t="s">
        <v>47</v>
      </c>
      <c r="F5" s="3">
        <v>219.33</v>
      </c>
      <c r="G5" s="3">
        <v>0</v>
      </c>
      <c r="H5" s="3">
        <v>0</v>
      </c>
      <c r="I5" s="3">
        <v>0.05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 t="s">
        <v>48</v>
      </c>
      <c r="P5" s="3" t="s">
        <v>29</v>
      </c>
      <c r="Q5" s="3" t="s">
        <v>30</v>
      </c>
      <c r="R5" s="3" t="s">
        <v>31</v>
      </c>
      <c r="S5" s="3" t="s">
        <v>49</v>
      </c>
      <c r="T5" s="3">
        <v>5755183200651</v>
      </c>
      <c r="U5" s="1"/>
      <c r="V5" s="3" t="s">
        <v>50</v>
      </c>
      <c r="W5" s="3">
        <v>0.05</v>
      </c>
      <c r="X5" s="3">
        <v>10.9857434</v>
      </c>
      <c r="Y5" s="3">
        <v>76.934313299999999</v>
      </c>
      <c r="Z5" s="3" t="s">
        <v>34</v>
      </c>
    </row>
    <row r="6" spans="1:26" ht="15" hidden="1" customHeight="1" x14ac:dyDescent="0.25">
      <c r="A6" s="3" t="s">
        <v>51</v>
      </c>
      <c r="B6" s="3">
        <f>COUNTIFS(Sheet1!B:B,'Entities table_CCMS Panel View'!A6)</f>
        <v>1</v>
      </c>
      <c r="C6" s="3" t="s">
        <v>26</v>
      </c>
      <c r="D6" s="3" t="s">
        <v>27</v>
      </c>
      <c r="E6" s="3" t="s">
        <v>41</v>
      </c>
      <c r="F6" s="3">
        <v>222.39</v>
      </c>
      <c r="G6" s="3">
        <v>0</v>
      </c>
      <c r="H6" s="3">
        <v>0</v>
      </c>
      <c r="I6" s="3">
        <v>7.0000000000000007E-2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1"/>
      <c r="P6" s="3" t="s">
        <v>29</v>
      </c>
      <c r="Q6" s="3" t="s">
        <v>30</v>
      </c>
      <c r="R6" s="3" t="s">
        <v>31</v>
      </c>
      <c r="S6" s="3" t="s">
        <v>52</v>
      </c>
      <c r="T6" s="1"/>
      <c r="U6" s="1"/>
      <c r="V6" s="3" t="s">
        <v>53</v>
      </c>
      <c r="W6" s="3">
        <v>7.0000000000000007E-2</v>
      </c>
      <c r="X6" s="3">
        <v>10.9915927</v>
      </c>
      <c r="Y6" s="3">
        <v>76.9334104</v>
      </c>
      <c r="Z6" s="3" t="s">
        <v>34</v>
      </c>
    </row>
    <row r="7" spans="1:26" ht="15" hidden="1" customHeight="1" x14ac:dyDescent="0.25">
      <c r="A7" s="3" t="s">
        <v>54</v>
      </c>
      <c r="B7" s="3">
        <f>COUNTIFS(Sheet1!B:B,'Entities table_CCMS Panel View'!A7)</f>
        <v>1</v>
      </c>
      <c r="C7" s="3" t="s">
        <v>26</v>
      </c>
      <c r="D7" s="3" t="s">
        <v>27</v>
      </c>
      <c r="E7" s="3" t="s">
        <v>55</v>
      </c>
      <c r="F7" s="3">
        <v>214.97</v>
      </c>
      <c r="G7" s="3">
        <v>0</v>
      </c>
      <c r="H7" s="3">
        <v>0</v>
      </c>
      <c r="I7" s="3">
        <v>0.06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1"/>
      <c r="P7" s="3" t="s">
        <v>29</v>
      </c>
      <c r="Q7" s="3" t="s">
        <v>30</v>
      </c>
      <c r="R7" s="3" t="s">
        <v>31</v>
      </c>
      <c r="S7" s="3" t="s">
        <v>56</v>
      </c>
      <c r="T7" s="1"/>
      <c r="U7" s="1"/>
      <c r="V7" s="3" t="s">
        <v>57</v>
      </c>
      <c r="W7" s="3">
        <v>0.06</v>
      </c>
      <c r="X7" s="3">
        <v>10.9994178</v>
      </c>
      <c r="Y7" s="3">
        <v>76.936593500000001</v>
      </c>
      <c r="Z7" s="3" t="s">
        <v>34</v>
      </c>
    </row>
    <row r="8" spans="1:26" ht="15" hidden="1" customHeight="1" x14ac:dyDescent="0.25">
      <c r="A8" s="3" t="s">
        <v>58</v>
      </c>
      <c r="B8" s="3">
        <f>COUNTIFS(Sheet1!B:B,'Entities table_CCMS Panel View'!A8)</f>
        <v>1</v>
      </c>
      <c r="C8" s="3" t="s">
        <v>26</v>
      </c>
      <c r="D8" s="3" t="s">
        <v>27</v>
      </c>
      <c r="E8" s="3" t="s">
        <v>59</v>
      </c>
      <c r="F8" s="3">
        <v>226.91</v>
      </c>
      <c r="G8" s="3">
        <v>0</v>
      </c>
      <c r="H8" s="3">
        <v>0</v>
      </c>
      <c r="I8" s="3">
        <v>0.05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1"/>
      <c r="P8" s="3" t="s">
        <v>29</v>
      </c>
      <c r="Q8" s="3" t="s">
        <v>30</v>
      </c>
      <c r="R8" s="3" t="s">
        <v>60</v>
      </c>
      <c r="S8" s="3" t="s">
        <v>61</v>
      </c>
      <c r="T8" s="1"/>
      <c r="U8" s="1"/>
      <c r="V8" s="3" t="s">
        <v>62</v>
      </c>
      <c r="W8" s="3">
        <v>0.05</v>
      </c>
      <c r="X8" s="3">
        <v>10.9942061</v>
      </c>
      <c r="Y8" s="3">
        <v>76.9417969</v>
      </c>
      <c r="Z8" s="3" t="s">
        <v>34</v>
      </c>
    </row>
    <row r="9" spans="1:26" ht="15" customHeight="1" x14ac:dyDescent="0.25">
      <c r="A9" s="3" t="s">
        <v>63</v>
      </c>
      <c r="B9" s="3">
        <f>COUNTIFS(Sheet1!B:B,'Entities table_CCMS Panel View'!A9)</f>
        <v>0</v>
      </c>
      <c r="C9" s="3" t="s">
        <v>26</v>
      </c>
      <c r="D9" s="3" t="s">
        <v>27</v>
      </c>
      <c r="E9" s="3" t="s">
        <v>64</v>
      </c>
      <c r="F9" s="3">
        <v>222.17</v>
      </c>
      <c r="G9" s="3">
        <v>0</v>
      </c>
      <c r="H9" s="3">
        <v>0</v>
      </c>
      <c r="I9" s="3">
        <v>0.06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1"/>
      <c r="P9" s="3" t="s">
        <v>29</v>
      </c>
      <c r="Q9" s="3" t="s">
        <v>30</v>
      </c>
      <c r="R9" s="3" t="s">
        <v>42</v>
      </c>
      <c r="S9" s="3" t="s">
        <v>65</v>
      </c>
      <c r="T9" s="3">
        <v>5755183068272</v>
      </c>
      <c r="U9" s="3">
        <v>2473</v>
      </c>
      <c r="V9" s="3" t="s">
        <v>66</v>
      </c>
      <c r="W9" s="3">
        <v>0.06</v>
      </c>
      <c r="X9" s="3">
        <v>10.9821998</v>
      </c>
      <c r="Y9" s="3">
        <v>76.966924899999995</v>
      </c>
      <c r="Z9" s="3">
        <v>9080911740</v>
      </c>
    </row>
    <row r="10" spans="1:26" ht="15" customHeight="1" x14ac:dyDescent="0.25">
      <c r="A10" s="3" t="s">
        <v>67</v>
      </c>
      <c r="B10" s="3">
        <f>COUNTIFS(Sheet1!B:B,'Entities table_CCMS Panel View'!A10)</f>
        <v>0</v>
      </c>
      <c r="C10" s="3" t="s">
        <v>26</v>
      </c>
      <c r="D10" s="3" t="s">
        <v>27</v>
      </c>
      <c r="E10" s="3" t="s">
        <v>68</v>
      </c>
      <c r="F10" s="3">
        <v>212.38</v>
      </c>
      <c r="G10" s="3">
        <v>0</v>
      </c>
      <c r="H10" s="3">
        <v>0</v>
      </c>
      <c r="I10" s="3">
        <v>0.05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1"/>
      <c r="P10" s="3" t="s">
        <v>29</v>
      </c>
      <c r="Q10" s="3" t="s">
        <v>30</v>
      </c>
      <c r="R10" s="3" t="s">
        <v>31</v>
      </c>
      <c r="S10" s="3" t="s">
        <v>69</v>
      </c>
      <c r="T10" s="3">
        <v>5755183073087</v>
      </c>
      <c r="U10" s="3">
        <v>3124</v>
      </c>
      <c r="V10" s="3" t="s">
        <v>70</v>
      </c>
      <c r="W10" s="3">
        <v>0.05</v>
      </c>
      <c r="X10" s="3">
        <v>10.9865709</v>
      </c>
      <c r="Y10" s="3">
        <v>76.927274999999995</v>
      </c>
      <c r="Z10" s="3">
        <v>8667729030</v>
      </c>
    </row>
    <row r="11" spans="1:26" ht="15" customHeight="1" x14ac:dyDescent="0.25">
      <c r="A11" s="3" t="s">
        <v>71</v>
      </c>
      <c r="B11" s="3">
        <f>COUNTIFS(Sheet1!B:B,'Entities table_CCMS Panel View'!A11)</f>
        <v>0</v>
      </c>
      <c r="C11" s="3" t="s">
        <v>26</v>
      </c>
      <c r="D11" s="3" t="s">
        <v>27</v>
      </c>
      <c r="E11" s="3" t="s">
        <v>72</v>
      </c>
      <c r="F11" s="3">
        <v>223.24</v>
      </c>
      <c r="G11" s="3">
        <v>0</v>
      </c>
      <c r="H11" s="3">
        <v>0</v>
      </c>
      <c r="I11" s="3">
        <v>0.05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1"/>
      <c r="P11" s="3" t="s">
        <v>29</v>
      </c>
      <c r="Q11" s="3" t="s">
        <v>30</v>
      </c>
      <c r="R11" s="3" t="s">
        <v>60</v>
      </c>
      <c r="S11" s="3" t="s">
        <v>73</v>
      </c>
      <c r="T11" s="3">
        <v>5755183072451</v>
      </c>
      <c r="U11" s="3">
        <v>2</v>
      </c>
      <c r="V11" s="3" t="s">
        <v>74</v>
      </c>
      <c r="W11" s="3">
        <v>0.05</v>
      </c>
      <c r="X11" s="3">
        <v>10.991327699999999</v>
      </c>
      <c r="Y11" s="3">
        <v>76.9412296</v>
      </c>
      <c r="Z11" s="3">
        <v>9677553379</v>
      </c>
    </row>
    <row r="12" spans="1:26" ht="15" hidden="1" customHeight="1" x14ac:dyDescent="0.25">
      <c r="A12" s="3" t="s">
        <v>75</v>
      </c>
      <c r="B12" s="3">
        <f>COUNTIFS(Sheet1!B:B,'Entities table_CCMS Panel View'!A12)</f>
        <v>1</v>
      </c>
      <c r="C12" s="3" t="s">
        <v>26</v>
      </c>
      <c r="D12" s="3" t="s">
        <v>27</v>
      </c>
      <c r="E12" s="3" t="s">
        <v>76</v>
      </c>
      <c r="F12" s="3">
        <v>226</v>
      </c>
      <c r="G12" s="3">
        <v>0</v>
      </c>
      <c r="H12" s="3">
        <v>0</v>
      </c>
      <c r="I12" s="3">
        <v>0.05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 t="s">
        <v>48</v>
      </c>
      <c r="P12" s="3" t="s">
        <v>29</v>
      </c>
      <c r="Q12" s="3" t="s">
        <v>30</v>
      </c>
      <c r="R12" s="3" t="s">
        <v>31</v>
      </c>
      <c r="S12" s="3" t="s">
        <v>77</v>
      </c>
      <c r="T12" s="3">
        <v>5755183072326</v>
      </c>
      <c r="U12" s="3">
        <v>778</v>
      </c>
      <c r="V12" s="3" t="s">
        <v>78</v>
      </c>
      <c r="W12" s="3">
        <v>0.06</v>
      </c>
      <c r="X12" s="3">
        <v>10.982597699999999</v>
      </c>
      <c r="Y12" s="3">
        <v>76.921491500000002</v>
      </c>
      <c r="Z12" s="3">
        <v>9677553379</v>
      </c>
    </row>
    <row r="13" spans="1:26" ht="15" hidden="1" customHeight="1" x14ac:dyDescent="0.25">
      <c r="A13" s="3" t="s">
        <v>79</v>
      </c>
      <c r="B13" s="3">
        <f>COUNTIFS(Sheet1!B:B,'Entities table_CCMS Panel View'!A13)</f>
        <v>1</v>
      </c>
      <c r="C13" s="3" t="s">
        <v>26</v>
      </c>
      <c r="D13" s="3" t="s">
        <v>27</v>
      </c>
      <c r="E13" s="3" t="s">
        <v>80</v>
      </c>
      <c r="F13" s="3">
        <v>201.98</v>
      </c>
      <c r="G13" s="3">
        <v>0</v>
      </c>
      <c r="H13" s="3">
        <v>0</v>
      </c>
      <c r="I13" s="3">
        <v>0.05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1"/>
      <c r="P13" s="3" t="s">
        <v>29</v>
      </c>
      <c r="Q13" s="3" t="s">
        <v>30</v>
      </c>
      <c r="R13" s="3" t="s">
        <v>31</v>
      </c>
      <c r="S13" s="3" t="s">
        <v>81</v>
      </c>
      <c r="T13" s="3">
        <v>5755183072447</v>
      </c>
      <c r="U13" s="3">
        <v>1160</v>
      </c>
      <c r="V13" s="3" t="s">
        <v>82</v>
      </c>
      <c r="W13" s="3">
        <v>0.05</v>
      </c>
      <c r="X13" s="3">
        <v>10.990698099999999</v>
      </c>
      <c r="Y13" s="3">
        <v>76.931801899999996</v>
      </c>
      <c r="Z13" s="3">
        <v>9080911740</v>
      </c>
    </row>
    <row r="14" spans="1:26" ht="15" hidden="1" customHeight="1" x14ac:dyDescent="0.25">
      <c r="A14" s="3" t="s">
        <v>83</v>
      </c>
      <c r="B14" s="3">
        <f>COUNTIFS(Sheet1!B:B,'Entities table_CCMS Panel View'!A14)</f>
        <v>1</v>
      </c>
      <c r="C14" s="3" t="s">
        <v>84</v>
      </c>
      <c r="D14" s="3" t="s">
        <v>27</v>
      </c>
      <c r="E14" s="3" t="s">
        <v>85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1"/>
      <c r="P14" s="3" t="s">
        <v>29</v>
      </c>
      <c r="Q14" s="3" t="s">
        <v>30</v>
      </c>
      <c r="R14" s="3" t="s">
        <v>60</v>
      </c>
      <c r="S14" s="3" t="s">
        <v>86</v>
      </c>
      <c r="T14" s="3">
        <v>5755183236164</v>
      </c>
      <c r="U14" s="3">
        <v>1143</v>
      </c>
      <c r="V14" s="3" t="s">
        <v>87</v>
      </c>
      <c r="W14" s="3">
        <v>0</v>
      </c>
      <c r="X14" s="3">
        <v>10.9905969</v>
      </c>
      <c r="Y14" s="3">
        <v>76.939371899999998</v>
      </c>
      <c r="Z14" s="3">
        <v>9677553379</v>
      </c>
    </row>
    <row r="15" spans="1:26" ht="15" hidden="1" customHeight="1" x14ac:dyDescent="0.25">
      <c r="A15" s="3" t="s">
        <v>88</v>
      </c>
      <c r="B15" s="3">
        <f>COUNTIFS(Sheet1!B:B,'Entities table_CCMS Panel View'!A15)</f>
        <v>1</v>
      </c>
      <c r="C15" s="3" t="s">
        <v>26</v>
      </c>
      <c r="D15" s="3" t="s">
        <v>27</v>
      </c>
      <c r="E15" s="3" t="s">
        <v>89</v>
      </c>
      <c r="F15" s="3">
        <v>217.84</v>
      </c>
      <c r="G15" s="3">
        <v>0</v>
      </c>
      <c r="H15" s="3">
        <v>0</v>
      </c>
      <c r="I15" s="3">
        <v>0.04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1"/>
      <c r="P15" s="3" t="s">
        <v>29</v>
      </c>
      <c r="Q15" s="3" t="s">
        <v>30</v>
      </c>
      <c r="R15" s="3" t="s">
        <v>60</v>
      </c>
      <c r="S15" s="3" t="s">
        <v>90</v>
      </c>
      <c r="T15" s="3">
        <v>5755183128480</v>
      </c>
      <c r="U15" s="3">
        <v>666</v>
      </c>
      <c r="V15" s="3" t="s">
        <v>91</v>
      </c>
      <c r="W15" s="3">
        <v>0.05</v>
      </c>
      <c r="X15" s="3">
        <v>10.9925617</v>
      </c>
      <c r="Y15" s="3">
        <v>76.941428700000003</v>
      </c>
      <c r="Z15" s="3">
        <v>9677553379</v>
      </c>
    </row>
    <row r="16" spans="1:26" ht="15" hidden="1" customHeight="1" x14ac:dyDescent="0.25">
      <c r="A16" s="3" t="s">
        <v>92</v>
      </c>
      <c r="B16" s="3">
        <f>COUNTIFS(Sheet1!B:B,'Entities table_CCMS Panel View'!A16)</f>
        <v>1</v>
      </c>
      <c r="C16" s="3" t="s">
        <v>26</v>
      </c>
      <c r="D16" s="3" t="s">
        <v>27</v>
      </c>
      <c r="E16" s="3" t="s">
        <v>93</v>
      </c>
      <c r="F16" s="3">
        <v>220.7</v>
      </c>
      <c r="G16" s="3">
        <v>0</v>
      </c>
      <c r="H16" s="3">
        <v>0</v>
      </c>
      <c r="I16" s="3">
        <v>0.05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1"/>
      <c r="P16" s="3" t="s">
        <v>29</v>
      </c>
      <c r="Q16" s="3" t="s">
        <v>30</v>
      </c>
      <c r="R16" s="3" t="s">
        <v>31</v>
      </c>
      <c r="S16" s="3" t="s">
        <v>94</v>
      </c>
      <c r="T16" s="3">
        <v>5755183070882</v>
      </c>
      <c r="U16" s="3">
        <v>136</v>
      </c>
      <c r="V16" s="3" t="s">
        <v>95</v>
      </c>
      <c r="W16" s="3">
        <v>0.05</v>
      </c>
      <c r="X16" s="3">
        <v>10.9912472</v>
      </c>
      <c r="Y16" s="3">
        <v>76.926831399999998</v>
      </c>
      <c r="Z16" s="3">
        <v>9080911740</v>
      </c>
    </row>
    <row r="17" spans="1:26" ht="15" customHeight="1" x14ac:dyDescent="0.25">
      <c r="A17" s="3" t="s">
        <v>96</v>
      </c>
      <c r="B17" s="3">
        <f>COUNTIFS(Sheet1!B:B,'Entities table_CCMS Panel View'!A17)</f>
        <v>0</v>
      </c>
      <c r="C17" s="3" t="s">
        <v>26</v>
      </c>
      <c r="D17" s="3" t="s">
        <v>27</v>
      </c>
      <c r="E17" s="3" t="s">
        <v>72</v>
      </c>
      <c r="F17" s="3">
        <v>217.48</v>
      </c>
      <c r="G17" s="3">
        <v>0</v>
      </c>
      <c r="H17" s="3">
        <v>0</v>
      </c>
      <c r="I17" s="3">
        <v>0.05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1"/>
      <c r="P17" s="3" t="s">
        <v>29</v>
      </c>
      <c r="Q17" s="3" t="s">
        <v>30</v>
      </c>
      <c r="R17" s="3" t="s">
        <v>60</v>
      </c>
      <c r="S17" s="3" t="s">
        <v>97</v>
      </c>
      <c r="T17" s="3">
        <v>5755183072913</v>
      </c>
      <c r="U17" s="3" t="s">
        <v>98</v>
      </c>
      <c r="V17" s="3" t="s">
        <v>99</v>
      </c>
      <c r="W17" s="3">
        <v>0.06</v>
      </c>
      <c r="X17" s="3">
        <v>10.986772999999999</v>
      </c>
      <c r="Y17" s="3">
        <v>76.939873000000006</v>
      </c>
      <c r="Z17" s="3">
        <v>8667729030</v>
      </c>
    </row>
    <row r="18" spans="1:26" ht="15" customHeight="1" x14ac:dyDescent="0.25">
      <c r="A18" s="3" t="s">
        <v>100</v>
      </c>
      <c r="B18" s="3">
        <f>COUNTIFS(Sheet1!B:B,'Entities table_CCMS Panel View'!A18)</f>
        <v>0</v>
      </c>
      <c r="C18" s="3" t="s">
        <v>101</v>
      </c>
      <c r="D18" s="3" t="s">
        <v>102</v>
      </c>
      <c r="E18" s="3" t="s">
        <v>103</v>
      </c>
      <c r="F18" s="3">
        <v>242.73</v>
      </c>
      <c r="G18" s="3">
        <v>0</v>
      </c>
      <c r="H18" s="3">
        <v>0</v>
      </c>
      <c r="I18" s="3">
        <v>3.31</v>
      </c>
      <c r="J18" s="3">
        <v>0</v>
      </c>
      <c r="K18" s="3">
        <v>0</v>
      </c>
      <c r="L18" s="3">
        <v>0.79</v>
      </c>
      <c r="M18" s="3">
        <v>0</v>
      </c>
      <c r="N18" s="3">
        <v>0</v>
      </c>
      <c r="O18" s="1"/>
      <c r="P18" s="3" t="s">
        <v>29</v>
      </c>
      <c r="Q18" s="3" t="s">
        <v>30</v>
      </c>
      <c r="R18" s="3" t="s">
        <v>42</v>
      </c>
      <c r="S18" s="3" t="s">
        <v>104</v>
      </c>
      <c r="T18" s="3">
        <v>9498730093</v>
      </c>
      <c r="U18" s="3">
        <v>617</v>
      </c>
      <c r="V18" s="3" t="s">
        <v>105</v>
      </c>
      <c r="W18" s="3">
        <v>0.06</v>
      </c>
      <c r="X18" s="3">
        <v>10.9775224</v>
      </c>
      <c r="Y18" s="3">
        <v>76.9637855</v>
      </c>
      <c r="Z18" s="3">
        <v>9677553379</v>
      </c>
    </row>
    <row r="19" spans="1:26" ht="15" hidden="1" customHeight="1" x14ac:dyDescent="0.25">
      <c r="A19" s="3" t="s">
        <v>106</v>
      </c>
      <c r="B19" s="3">
        <f>COUNTIFS(Sheet1!B:B,'Entities table_CCMS Panel View'!A19)</f>
        <v>1</v>
      </c>
      <c r="C19" s="3" t="s">
        <v>26</v>
      </c>
      <c r="D19" s="3" t="s">
        <v>27</v>
      </c>
      <c r="E19" s="3" t="s">
        <v>107</v>
      </c>
      <c r="F19" s="3">
        <v>221.32</v>
      </c>
      <c r="G19" s="3">
        <v>0</v>
      </c>
      <c r="H19" s="3">
        <v>0</v>
      </c>
      <c r="I19" s="3">
        <v>0.06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 t="s">
        <v>48</v>
      </c>
      <c r="P19" s="3" t="s">
        <v>29</v>
      </c>
      <c r="Q19" s="3" t="s">
        <v>30</v>
      </c>
      <c r="R19" s="3" t="s">
        <v>108</v>
      </c>
      <c r="S19" s="3" t="s">
        <v>109</v>
      </c>
      <c r="T19" s="3">
        <v>5755183073047</v>
      </c>
      <c r="U19" s="3" t="s">
        <v>110</v>
      </c>
      <c r="V19" s="3" t="s">
        <v>111</v>
      </c>
      <c r="W19" s="3">
        <v>0.06</v>
      </c>
      <c r="X19" s="3">
        <v>10.9873756</v>
      </c>
      <c r="Y19" s="3">
        <v>76.935607200000007</v>
      </c>
      <c r="Z19" s="3">
        <v>8667099217</v>
      </c>
    </row>
    <row r="20" spans="1:26" ht="15" hidden="1" customHeight="1" x14ac:dyDescent="0.25">
      <c r="A20" s="3" t="s">
        <v>112</v>
      </c>
      <c r="B20" s="3">
        <f>COUNTIFS(Sheet1!B:B,'Entities table_CCMS Panel View'!A20)</f>
        <v>1</v>
      </c>
      <c r="C20" s="3" t="s">
        <v>26</v>
      </c>
      <c r="D20" s="3" t="s">
        <v>27</v>
      </c>
      <c r="E20" s="3" t="s">
        <v>113</v>
      </c>
      <c r="F20" s="3">
        <v>228.77</v>
      </c>
      <c r="G20" s="3">
        <v>0</v>
      </c>
      <c r="H20" s="3">
        <v>0</v>
      </c>
      <c r="I20" s="3">
        <v>0.05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1"/>
      <c r="P20" s="3" t="s">
        <v>29</v>
      </c>
      <c r="Q20" s="3" t="s">
        <v>30</v>
      </c>
      <c r="R20" s="3" t="s">
        <v>60</v>
      </c>
      <c r="S20" s="3" t="s">
        <v>114</v>
      </c>
      <c r="T20" s="3">
        <v>5755183013260</v>
      </c>
      <c r="U20" s="3">
        <v>1755</v>
      </c>
      <c r="V20" s="3" t="s">
        <v>115</v>
      </c>
      <c r="W20" s="3">
        <v>0.05</v>
      </c>
      <c r="X20" s="3">
        <v>11.0009377</v>
      </c>
      <c r="Y20" s="3">
        <v>76.9426883</v>
      </c>
      <c r="Z20" s="3">
        <v>9677553379</v>
      </c>
    </row>
    <row r="21" spans="1:26" ht="15" hidden="1" customHeight="1" x14ac:dyDescent="0.25">
      <c r="A21" s="3" t="s">
        <v>116</v>
      </c>
      <c r="B21" s="3">
        <f>COUNTIFS(Sheet1!B:B,'Entities table_CCMS Panel View'!A21)</f>
        <v>1</v>
      </c>
      <c r="C21" s="3" t="s">
        <v>26</v>
      </c>
      <c r="D21" s="3" t="s">
        <v>27</v>
      </c>
      <c r="E21" s="3" t="s">
        <v>72</v>
      </c>
      <c r="F21" s="3">
        <v>210.46</v>
      </c>
      <c r="G21" s="3">
        <v>0</v>
      </c>
      <c r="H21" s="3">
        <v>0</v>
      </c>
      <c r="I21" s="3">
        <v>0.06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1"/>
      <c r="P21" s="3" t="s">
        <v>29</v>
      </c>
      <c r="Q21" s="3" t="s">
        <v>30</v>
      </c>
      <c r="R21" s="3" t="s">
        <v>108</v>
      </c>
      <c r="S21" s="3" t="s">
        <v>117</v>
      </c>
      <c r="T21" s="3">
        <v>5755183058160</v>
      </c>
      <c r="U21" s="3">
        <v>534</v>
      </c>
      <c r="V21" s="3" t="s">
        <v>118</v>
      </c>
      <c r="W21" s="3">
        <v>0.06</v>
      </c>
      <c r="X21" s="3">
        <v>10.984761199999999</v>
      </c>
      <c r="Y21" s="3">
        <v>76.937616500000004</v>
      </c>
      <c r="Z21" s="3">
        <v>8667729030</v>
      </c>
    </row>
    <row r="22" spans="1:26" ht="15" customHeight="1" x14ac:dyDescent="0.25">
      <c r="A22" s="3" t="s">
        <v>119</v>
      </c>
      <c r="B22" s="3">
        <f>COUNTIFS(Sheet1!B:B,'Entities table_CCMS Panel View'!A22)</f>
        <v>0</v>
      </c>
      <c r="C22" s="3" t="s">
        <v>26</v>
      </c>
      <c r="D22" s="3" t="s">
        <v>27</v>
      </c>
      <c r="E22" s="3" t="s">
        <v>107</v>
      </c>
      <c r="F22" s="3">
        <v>219.68</v>
      </c>
      <c r="G22" s="3">
        <v>0</v>
      </c>
      <c r="H22" s="3">
        <v>0</v>
      </c>
      <c r="I22" s="3">
        <v>0.05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1"/>
      <c r="P22" s="3" t="s">
        <v>29</v>
      </c>
      <c r="Q22" s="3" t="s">
        <v>30</v>
      </c>
      <c r="R22" s="3" t="s">
        <v>31</v>
      </c>
      <c r="S22" s="3" t="s">
        <v>120</v>
      </c>
      <c r="T22" s="3">
        <v>5755183073421</v>
      </c>
      <c r="U22" s="3">
        <v>776</v>
      </c>
      <c r="V22" s="3" t="s">
        <v>121</v>
      </c>
      <c r="W22" s="3">
        <v>0.04</v>
      </c>
      <c r="X22" s="3">
        <v>10.991823999999999</v>
      </c>
      <c r="Y22" s="3">
        <v>76.933571200000003</v>
      </c>
      <c r="Z22" s="3">
        <v>9080911740</v>
      </c>
    </row>
    <row r="23" spans="1:26" ht="15" hidden="1" customHeight="1" x14ac:dyDescent="0.25">
      <c r="A23" s="3" t="s">
        <v>122</v>
      </c>
      <c r="B23" s="3">
        <f>COUNTIFS(Sheet1!B:B,'Entities table_CCMS Panel View'!A23)</f>
        <v>1</v>
      </c>
      <c r="C23" s="3" t="s">
        <v>26</v>
      </c>
      <c r="D23" s="3" t="s">
        <v>27</v>
      </c>
      <c r="E23" s="3" t="s">
        <v>123</v>
      </c>
      <c r="F23" s="3">
        <v>221.98</v>
      </c>
      <c r="G23" s="3">
        <v>0</v>
      </c>
      <c r="H23" s="3">
        <v>223.05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 t="s">
        <v>124</v>
      </c>
      <c r="P23" s="3" t="s">
        <v>29</v>
      </c>
      <c r="Q23" s="3" t="s">
        <v>30</v>
      </c>
      <c r="R23" s="3" t="s">
        <v>60</v>
      </c>
      <c r="S23" s="3" t="s">
        <v>125</v>
      </c>
      <c r="T23" s="3">
        <v>5755183203233</v>
      </c>
      <c r="U23" s="3">
        <v>691</v>
      </c>
      <c r="V23" s="3" t="s">
        <v>126</v>
      </c>
      <c r="W23" s="3">
        <v>0</v>
      </c>
      <c r="X23" s="3">
        <v>10.9925689</v>
      </c>
      <c r="Y23" s="3">
        <v>76.941440099999994</v>
      </c>
      <c r="Z23" s="3">
        <v>9677553379</v>
      </c>
    </row>
    <row r="24" spans="1:26" ht="15" hidden="1" customHeight="1" x14ac:dyDescent="0.25">
      <c r="A24" s="3" t="s">
        <v>127</v>
      </c>
      <c r="B24" s="3">
        <f>COUNTIFS(Sheet1!B:B,'Entities table_CCMS Panel View'!A24)</f>
        <v>1</v>
      </c>
      <c r="C24" s="3" t="s">
        <v>26</v>
      </c>
      <c r="D24" s="3" t="s">
        <v>27</v>
      </c>
      <c r="E24" s="3" t="s">
        <v>128</v>
      </c>
      <c r="F24" s="3">
        <v>216.29</v>
      </c>
      <c r="G24" s="3">
        <v>0</v>
      </c>
      <c r="H24" s="3">
        <v>0</v>
      </c>
      <c r="I24" s="3">
        <v>0.04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1"/>
      <c r="P24" s="3" t="s">
        <v>29</v>
      </c>
      <c r="Q24" s="3" t="s">
        <v>30</v>
      </c>
      <c r="R24" s="3" t="s">
        <v>31</v>
      </c>
      <c r="S24" s="3" t="s">
        <v>129</v>
      </c>
      <c r="T24" s="3">
        <v>5755183068699</v>
      </c>
      <c r="U24" s="3">
        <v>412</v>
      </c>
      <c r="V24" s="3" t="s">
        <v>130</v>
      </c>
      <c r="W24" s="3">
        <v>0.04</v>
      </c>
      <c r="X24" s="3">
        <v>10.9869544</v>
      </c>
      <c r="Y24" s="3">
        <v>76.926927300000003</v>
      </c>
      <c r="Z24" s="3">
        <v>8667729030</v>
      </c>
    </row>
    <row r="25" spans="1:26" ht="15" hidden="1" customHeight="1" x14ac:dyDescent="0.25">
      <c r="A25" s="3" t="s">
        <v>131</v>
      </c>
      <c r="B25" s="3">
        <f>COUNTIFS(Sheet1!B:B,'Entities table_CCMS Panel View'!A25)</f>
        <v>1</v>
      </c>
      <c r="C25" s="3" t="s">
        <v>26</v>
      </c>
      <c r="D25" s="3" t="s">
        <v>27</v>
      </c>
      <c r="E25" s="3" t="s">
        <v>132</v>
      </c>
      <c r="F25" s="3">
        <v>219.82</v>
      </c>
      <c r="G25" s="3">
        <v>0</v>
      </c>
      <c r="H25" s="3">
        <v>0</v>
      </c>
      <c r="I25" s="3">
        <v>0.08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1"/>
      <c r="P25" s="3" t="s">
        <v>29</v>
      </c>
      <c r="Q25" s="3" t="s">
        <v>30</v>
      </c>
      <c r="R25" s="3" t="s">
        <v>31</v>
      </c>
      <c r="S25" s="3" t="s">
        <v>133</v>
      </c>
      <c r="T25" s="3">
        <v>5755183068876</v>
      </c>
      <c r="U25" s="3">
        <v>1770</v>
      </c>
      <c r="V25" s="3" t="s">
        <v>134</v>
      </c>
      <c r="W25" s="3">
        <v>0.08</v>
      </c>
      <c r="X25" s="3">
        <v>10.9823328</v>
      </c>
      <c r="Y25" s="3">
        <v>76.932825100000002</v>
      </c>
      <c r="Z25" s="3">
        <v>8667729030</v>
      </c>
    </row>
    <row r="26" spans="1:26" ht="15" hidden="1" customHeight="1" x14ac:dyDescent="0.25">
      <c r="A26" s="3" t="s">
        <v>135</v>
      </c>
      <c r="B26" s="3">
        <f>COUNTIFS(Sheet1!B:B,'Entities table_CCMS Panel View'!A26)</f>
        <v>1</v>
      </c>
      <c r="C26" s="3" t="s">
        <v>26</v>
      </c>
      <c r="D26" s="3" t="s">
        <v>27</v>
      </c>
      <c r="E26" s="3" t="s">
        <v>136</v>
      </c>
      <c r="F26" s="3">
        <v>230.8</v>
      </c>
      <c r="G26" s="3">
        <v>0</v>
      </c>
      <c r="H26" s="3">
        <v>0</v>
      </c>
      <c r="I26" s="3">
        <v>7.0000000000000007E-2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1"/>
      <c r="P26" s="3" t="s">
        <v>29</v>
      </c>
      <c r="Q26" s="3" t="s">
        <v>30</v>
      </c>
      <c r="R26" s="3" t="s">
        <v>31</v>
      </c>
      <c r="S26" s="3" t="s">
        <v>137</v>
      </c>
      <c r="T26" s="3">
        <v>5755183070119</v>
      </c>
      <c r="U26" s="3">
        <v>1715</v>
      </c>
      <c r="V26" s="3" t="s">
        <v>138</v>
      </c>
      <c r="W26" s="3">
        <v>7.0000000000000007E-2</v>
      </c>
      <c r="X26" s="3">
        <v>10.9956964</v>
      </c>
      <c r="Y26" s="3">
        <v>76.932211100000004</v>
      </c>
      <c r="Z26" s="3">
        <v>9080911740</v>
      </c>
    </row>
    <row r="27" spans="1:26" ht="15" hidden="1" customHeight="1" x14ac:dyDescent="0.25">
      <c r="A27" s="3" t="s">
        <v>139</v>
      </c>
      <c r="B27" s="3">
        <f>COUNTIFS(Sheet1!B:B,'Entities table_CCMS Panel View'!A27)</f>
        <v>1</v>
      </c>
      <c r="C27" s="3" t="s">
        <v>26</v>
      </c>
      <c r="D27" s="3" t="s">
        <v>27</v>
      </c>
      <c r="E27" s="3" t="s">
        <v>140</v>
      </c>
      <c r="F27" s="3">
        <v>224.45</v>
      </c>
      <c r="G27" s="3">
        <v>0</v>
      </c>
      <c r="H27" s="3">
        <v>0</v>
      </c>
      <c r="I27" s="3">
        <v>0.06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1"/>
      <c r="P27" s="3" t="s">
        <v>29</v>
      </c>
      <c r="Q27" s="3" t="s">
        <v>30</v>
      </c>
      <c r="R27" s="3" t="s">
        <v>60</v>
      </c>
      <c r="S27" s="3" t="s">
        <v>141</v>
      </c>
      <c r="T27" s="3">
        <v>5755183272570</v>
      </c>
      <c r="U27" s="3">
        <v>36</v>
      </c>
      <c r="V27" s="3" t="s">
        <v>142</v>
      </c>
      <c r="W27" s="3">
        <v>0.06</v>
      </c>
      <c r="X27" s="3">
        <v>10.996714799999999</v>
      </c>
      <c r="Y27" s="3">
        <v>76.942600400000003</v>
      </c>
      <c r="Z27" s="3">
        <v>9677553379</v>
      </c>
    </row>
    <row r="28" spans="1:26" ht="15" hidden="1" customHeight="1" x14ac:dyDescent="0.25">
      <c r="A28" s="3" t="s">
        <v>143</v>
      </c>
      <c r="B28" s="3">
        <f>COUNTIFS(Sheet1!B:B,'Entities table_CCMS Panel View'!A28)</f>
        <v>1</v>
      </c>
      <c r="C28" s="3" t="s">
        <v>26</v>
      </c>
      <c r="D28" s="3" t="s">
        <v>27</v>
      </c>
      <c r="E28" s="3" t="s">
        <v>144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 t="s">
        <v>145</v>
      </c>
      <c r="P28" s="3" t="s">
        <v>29</v>
      </c>
      <c r="Q28" s="3" t="s">
        <v>30</v>
      </c>
      <c r="R28" s="3" t="s">
        <v>37</v>
      </c>
      <c r="S28" s="3" t="s">
        <v>146</v>
      </c>
      <c r="T28" s="3">
        <v>5755183236160</v>
      </c>
      <c r="U28" s="3">
        <v>1084</v>
      </c>
      <c r="V28" s="3" t="s">
        <v>147</v>
      </c>
      <c r="W28" s="3">
        <v>0</v>
      </c>
      <c r="X28" s="3">
        <v>10.989738300000001</v>
      </c>
      <c r="Y28" s="3">
        <v>76.937731299999996</v>
      </c>
      <c r="Z28" s="3">
        <v>8667729030</v>
      </c>
    </row>
    <row r="29" spans="1:26" ht="15" customHeight="1" x14ac:dyDescent="0.25">
      <c r="A29" s="3" t="s">
        <v>148</v>
      </c>
      <c r="B29" s="3">
        <f>COUNTIFS(Sheet1!B:B,'Entities table_CCMS Panel View'!A29)</f>
        <v>0</v>
      </c>
      <c r="C29" s="3" t="s">
        <v>26</v>
      </c>
      <c r="D29" s="3" t="s">
        <v>27</v>
      </c>
      <c r="E29" s="3" t="s">
        <v>80</v>
      </c>
      <c r="F29" s="3">
        <v>225.39</v>
      </c>
      <c r="G29" s="3">
        <v>0</v>
      </c>
      <c r="H29" s="3">
        <v>0</v>
      </c>
      <c r="I29" s="3">
        <v>0.05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1"/>
      <c r="P29" s="3" t="s">
        <v>29</v>
      </c>
      <c r="Q29" s="3" t="s">
        <v>30</v>
      </c>
      <c r="R29" s="3" t="s">
        <v>42</v>
      </c>
      <c r="S29" s="3" t="s">
        <v>149</v>
      </c>
      <c r="T29" s="3">
        <v>5755183072457</v>
      </c>
      <c r="U29" s="3">
        <v>1207</v>
      </c>
      <c r="V29" s="3" t="s">
        <v>150</v>
      </c>
      <c r="W29" s="3">
        <v>0.05</v>
      </c>
      <c r="X29" s="3">
        <v>10.9847517</v>
      </c>
      <c r="Y29" s="3">
        <v>76.962716200000003</v>
      </c>
      <c r="Z29" s="3">
        <v>9080911740</v>
      </c>
    </row>
    <row r="30" spans="1:26" ht="15" hidden="1" customHeight="1" x14ac:dyDescent="0.25">
      <c r="A30" s="3" t="s">
        <v>151</v>
      </c>
      <c r="B30" s="3">
        <f>COUNTIFS(Sheet1!B:B,'Entities table_CCMS Panel View'!A30)</f>
        <v>1</v>
      </c>
      <c r="C30" s="3" t="s">
        <v>26</v>
      </c>
      <c r="D30" s="3" t="s">
        <v>27</v>
      </c>
      <c r="E30" s="3" t="s">
        <v>80</v>
      </c>
      <c r="F30" s="3">
        <v>228.12</v>
      </c>
      <c r="G30" s="3">
        <v>0</v>
      </c>
      <c r="H30" s="3">
        <v>0</v>
      </c>
      <c r="I30" s="3">
        <v>0.04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1"/>
      <c r="P30" s="3" t="s">
        <v>29</v>
      </c>
      <c r="Q30" s="3" t="s">
        <v>30</v>
      </c>
      <c r="R30" s="3" t="s">
        <v>42</v>
      </c>
      <c r="S30" s="3" t="s">
        <v>152</v>
      </c>
      <c r="T30" s="3">
        <v>5755183073316</v>
      </c>
      <c r="U30" s="3">
        <v>320</v>
      </c>
      <c r="V30" s="3" t="s">
        <v>153</v>
      </c>
      <c r="W30" s="3">
        <v>0.04</v>
      </c>
      <c r="X30" s="3">
        <v>10.985578</v>
      </c>
      <c r="Y30" s="3">
        <v>76.963390000000004</v>
      </c>
      <c r="Z30" s="3">
        <v>9677553379</v>
      </c>
    </row>
    <row r="31" spans="1:26" ht="15" hidden="1" customHeight="1" x14ac:dyDescent="0.25">
      <c r="A31" s="3" t="s">
        <v>154</v>
      </c>
      <c r="B31" s="3">
        <f>COUNTIFS(Sheet1!B:B,'Entities table_CCMS Panel View'!A31)</f>
        <v>1</v>
      </c>
      <c r="C31" s="3" t="s">
        <v>26</v>
      </c>
      <c r="D31" s="3" t="s">
        <v>27</v>
      </c>
      <c r="E31" s="3" t="s">
        <v>155</v>
      </c>
      <c r="F31" s="3">
        <v>227.97</v>
      </c>
      <c r="G31" s="3">
        <v>0</v>
      </c>
      <c r="H31" s="3">
        <v>0</v>
      </c>
      <c r="I31" s="3">
        <v>0.06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1"/>
      <c r="P31" s="3" t="s">
        <v>29</v>
      </c>
      <c r="Q31" s="3" t="s">
        <v>30</v>
      </c>
      <c r="R31" s="3" t="s">
        <v>31</v>
      </c>
      <c r="S31" s="3" t="s">
        <v>156</v>
      </c>
      <c r="T31" s="3">
        <v>5755183072134</v>
      </c>
      <c r="U31" s="3">
        <v>3122</v>
      </c>
      <c r="V31" s="3" t="s">
        <v>157</v>
      </c>
      <c r="W31" s="3">
        <v>0.06</v>
      </c>
      <c r="X31" s="3">
        <v>10.9909213</v>
      </c>
      <c r="Y31" s="3">
        <v>76.927394300000003</v>
      </c>
      <c r="Z31" s="3">
        <v>9677553379</v>
      </c>
    </row>
    <row r="32" spans="1:26" ht="15" hidden="1" customHeight="1" x14ac:dyDescent="0.25">
      <c r="A32" s="3" t="s">
        <v>158</v>
      </c>
      <c r="B32" s="3">
        <f>COUNTIFS(Sheet1!B:B,'Entities table_CCMS Panel View'!A32)</f>
        <v>1</v>
      </c>
      <c r="C32" s="3" t="s">
        <v>26</v>
      </c>
      <c r="D32" s="3" t="s">
        <v>27</v>
      </c>
      <c r="E32" s="3" t="s">
        <v>64</v>
      </c>
      <c r="F32" s="3">
        <v>230.29</v>
      </c>
      <c r="G32" s="3">
        <v>0</v>
      </c>
      <c r="H32" s="3">
        <v>0</v>
      </c>
      <c r="I32" s="3">
        <v>0.05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1"/>
      <c r="P32" s="3" t="s">
        <v>29</v>
      </c>
      <c r="Q32" s="3" t="s">
        <v>30</v>
      </c>
      <c r="R32" s="3" t="s">
        <v>42</v>
      </c>
      <c r="S32" s="3" t="s">
        <v>159</v>
      </c>
      <c r="T32" s="3">
        <v>5755183073366</v>
      </c>
      <c r="U32" s="3">
        <v>1401</v>
      </c>
      <c r="V32" s="3" t="s">
        <v>160</v>
      </c>
      <c r="W32" s="3">
        <v>0.05</v>
      </c>
      <c r="X32" s="3">
        <v>10.9884431</v>
      </c>
      <c r="Y32" s="3">
        <v>76.965926199999998</v>
      </c>
      <c r="Z32" s="3">
        <v>9677553379</v>
      </c>
    </row>
    <row r="33" spans="1:26" ht="15" customHeight="1" x14ac:dyDescent="0.25">
      <c r="A33" s="3" t="s">
        <v>161</v>
      </c>
      <c r="B33" s="3">
        <f>COUNTIFS(Sheet1!B:B,'Entities table_CCMS Panel View'!A33)</f>
        <v>0</v>
      </c>
      <c r="C33" s="3" t="s">
        <v>26</v>
      </c>
      <c r="D33" s="3" t="s">
        <v>27</v>
      </c>
      <c r="E33" s="3" t="s">
        <v>162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 t="s">
        <v>163</v>
      </c>
      <c r="P33" s="3" t="s">
        <v>29</v>
      </c>
      <c r="Q33" s="3" t="s">
        <v>30</v>
      </c>
      <c r="R33" s="3" t="s">
        <v>31</v>
      </c>
      <c r="S33" s="3" t="s">
        <v>164</v>
      </c>
      <c r="T33" s="3">
        <v>5755183072592</v>
      </c>
      <c r="U33" s="3">
        <v>839</v>
      </c>
      <c r="V33" s="3" t="s">
        <v>165</v>
      </c>
      <c r="W33" s="3">
        <v>0</v>
      </c>
      <c r="X33" s="3">
        <v>10.9861588</v>
      </c>
      <c r="Y33" s="3">
        <v>76.923227100000005</v>
      </c>
      <c r="Z33" s="3">
        <v>8667729030</v>
      </c>
    </row>
    <row r="34" spans="1:26" ht="15" hidden="1" customHeight="1" x14ac:dyDescent="0.25">
      <c r="A34" s="3" t="s">
        <v>166</v>
      </c>
      <c r="B34" s="3">
        <f>COUNTIFS(Sheet1!B:B,'Entities table_CCMS Panel View'!A34)</f>
        <v>1</v>
      </c>
      <c r="C34" s="3" t="s">
        <v>26</v>
      </c>
      <c r="D34" s="3" t="s">
        <v>27</v>
      </c>
      <c r="E34" s="3" t="s">
        <v>167</v>
      </c>
      <c r="F34" s="3">
        <v>213.42</v>
      </c>
      <c r="G34" s="3">
        <v>0</v>
      </c>
      <c r="H34" s="3">
        <v>0</v>
      </c>
      <c r="I34" s="3">
        <v>7.0000000000000007E-2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1"/>
      <c r="P34" s="3" t="s">
        <v>29</v>
      </c>
      <c r="Q34" s="3" t="s">
        <v>30</v>
      </c>
      <c r="R34" s="3" t="s">
        <v>31</v>
      </c>
      <c r="S34" s="3" t="s">
        <v>168</v>
      </c>
      <c r="T34" s="3">
        <v>5755183073273</v>
      </c>
      <c r="U34" s="3">
        <v>3129</v>
      </c>
      <c r="V34" s="3" t="s">
        <v>169</v>
      </c>
      <c r="W34" s="3">
        <v>7.0000000000000007E-2</v>
      </c>
      <c r="X34" s="3">
        <v>10.9986993</v>
      </c>
      <c r="Y34" s="3">
        <v>76.929697500000003</v>
      </c>
      <c r="Z34" s="3">
        <v>9080911740</v>
      </c>
    </row>
    <row r="35" spans="1:26" ht="15" hidden="1" customHeight="1" x14ac:dyDescent="0.25">
      <c r="A35" s="3" t="s">
        <v>170</v>
      </c>
      <c r="B35" s="3">
        <f>COUNTIFS(Sheet1!B:B,'Entities table_CCMS Panel View'!A35)</f>
        <v>1</v>
      </c>
      <c r="C35" s="3" t="s">
        <v>26</v>
      </c>
      <c r="D35" s="3" t="s">
        <v>27</v>
      </c>
      <c r="E35" s="3" t="s">
        <v>144</v>
      </c>
      <c r="F35" s="3">
        <v>211.75</v>
      </c>
      <c r="G35" s="3">
        <v>0</v>
      </c>
      <c r="H35" s="3">
        <v>0</v>
      </c>
      <c r="I35" s="3">
        <v>0.05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1"/>
      <c r="P35" s="3" t="s">
        <v>29</v>
      </c>
      <c r="Q35" s="3" t="s">
        <v>30</v>
      </c>
      <c r="R35" s="3" t="s">
        <v>108</v>
      </c>
      <c r="S35" s="3" t="s">
        <v>171</v>
      </c>
      <c r="T35" s="3">
        <v>5755183072784</v>
      </c>
      <c r="U35" s="3">
        <v>1983</v>
      </c>
      <c r="V35" s="3" t="s">
        <v>172</v>
      </c>
      <c r="W35" s="3">
        <v>0.05</v>
      </c>
      <c r="X35" s="3">
        <v>10.9831965</v>
      </c>
      <c r="Y35" s="3">
        <v>76.935826800000001</v>
      </c>
      <c r="Z35" s="3">
        <v>8667729030</v>
      </c>
    </row>
    <row r="36" spans="1:26" ht="15" hidden="1" customHeight="1" x14ac:dyDescent="0.25">
      <c r="A36" s="3" t="s">
        <v>173</v>
      </c>
      <c r="B36" s="3">
        <f>COUNTIFS(Sheet1!B:B,'Entities table_CCMS Panel View'!A36)</f>
        <v>1</v>
      </c>
      <c r="C36" s="3" t="s">
        <v>26</v>
      </c>
      <c r="D36" s="3" t="s">
        <v>27</v>
      </c>
      <c r="E36" s="3" t="s">
        <v>80</v>
      </c>
      <c r="F36" s="3">
        <v>222.35</v>
      </c>
      <c r="G36" s="3">
        <v>0</v>
      </c>
      <c r="H36" s="3">
        <v>0</v>
      </c>
      <c r="I36" s="3">
        <v>0.05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1"/>
      <c r="P36" s="3" t="s">
        <v>29</v>
      </c>
      <c r="Q36" s="3" t="s">
        <v>30</v>
      </c>
      <c r="R36" s="3" t="s">
        <v>60</v>
      </c>
      <c r="S36" s="3" t="s">
        <v>174</v>
      </c>
      <c r="T36" s="3">
        <v>5755183070974</v>
      </c>
      <c r="U36" s="3">
        <v>1219</v>
      </c>
      <c r="V36" s="3" t="s">
        <v>175</v>
      </c>
      <c r="W36" s="3">
        <v>0.05</v>
      </c>
      <c r="X36" s="3">
        <v>10.994771</v>
      </c>
      <c r="Y36" s="3">
        <v>76.939223999999996</v>
      </c>
      <c r="Z36" s="3">
        <v>9677553379</v>
      </c>
    </row>
    <row r="37" spans="1:26" ht="15" customHeight="1" x14ac:dyDescent="0.25">
      <c r="A37" s="3" t="s">
        <v>176</v>
      </c>
      <c r="B37" s="3">
        <f>COUNTIFS(Sheet1!B:B,'Entities table_CCMS Panel View'!A37)</f>
        <v>0</v>
      </c>
      <c r="C37" s="3" t="s">
        <v>26</v>
      </c>
      <c r="D37" s="3" t="s">
        <v>27</v>
      </c>
      <c r="E37" s="3" t="s">
        <v>177</v>
      </c>
      <c r="F37" s="3">
        <v>234.23</v>
      </c>
      <c r="G37" s="3">
        <v>0</v>
      </c>
      <c r="H37" s="3">
        <v>0</v>
      </c>
      <c r="I37" s="3">
        <v>0.06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 t="s">
        <v>178</v>
      </c>
      <c r="P37" s="3" t="s">
        <v>179</v>
      </c>
      <c r="Q37" s="3" t="s">
        <v>30</v>
      </c>
      <c r="R37" s="3" t="s">
        <v>108</v>
      </c>
      <c r="S37" s="3" t="s">
        <v>180</v>
      </c>
      <c r="T37" s="3">
        <v>5755183128488</v>
      </c>
      <c r="U37" s="3" t="s">
        <v>181</v>
      </c>
      <c r="V37" s="3" t="s">
        <v>182</v>
      </c>
      <c r="W37" s="3">
        <v>0.06</v>
      </c>
      <c r="X37" s="3">
        <v>10.986381</v>
      </c>
      <c r="Y37" s="3">
        <v>76.941411000000002</v>
      </c>
      <c r="Z37" s="3">
        <v>8667099217</v>
      </c>
    </row>
    <row r="38" spans="1:26" ht="15" hidden="1" customHeight="1" x14ac:dyDescent="0.25">
      <c r="A38" s="3" t="s">
        <v>183</v>
      </c>
      <c r="B38" s="3">
        <f>COUNTIFS(Sheet1!B:B,'Entities table_CCMS Panel View'!A38)</f>
        <v>1</v>
      </c>
      <c r="C38" s="3" t="s">
        <v>26</v>
      </c>
      <c r="D38" s="3" t="s">
        <v>27</v>
      </c>
      <c r="E38" s="3" t="s">
        <v>128</v>
      </c>
      <c r="F38" s="3">
        <v>193.92</v>
      </c>
      <c r="G38" s="3">
        <v>0</v>
      </c>
      <c r="H38" s="3">
        <v>0</v>
      </c>
      <c r="I38" s="3">
        <v>0.06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 t="s">
        <v>48</v>
      </c>
      <c r="P38" s="3" t="s">
        <v>29</v>
      </c>
      <c r="Q38" s="3" t="s">
        <v>30</v>
      </c>
      <c r="R38" s="3" t="s">
        <v>31</v>
      </c>
      <c r="S38" s="3" t="s">
        <v>184</v>
      </c>
      <c r="T38" s="3">
        <v>5755183073459</v>
      </c>
      <c r="U38" s="3">
        <v>3123</v>
      </c>
      <c r="V38" s="3" t="s">
        <v>185</v>
      </c>
      <c r="W38" s="3">
        <v>0.06</v>
      </c>
      <c r="X38" s="3">
        <v>10.992759599999999</v>
      </c>
      <c r="Y38" s="3">
        <v>76.933653300000003</v>
      </c>
      <c r="Z38" s="3">
        <v>9080911740</v>
      </c>
    </row>
    <row r="39" spans="1:26" ht="15" hidden="1" customHeight="1" x14ac:dyDescent="0.25">
      <c r="A39" s="3" t="s">
        <v>186</v>
      </c>
      <c r="B39" s="3">
        <f>COUNTIFS(Sheet1!B:B,'Entities table_CCMS Panel View'!A39)</f>
        <v>1</v>
      </c>
      <c r="C39" s="3" t="s">
        <v>26</v>
      </c>
      <c r="D39" s="3" t="s">
        <v>27</v>
      </c>
      <c r="E39" s="3" t="s">
        <v>128</v>
      </c>
      <c r="F39" s="3">
        <v>227.89</v>
      </c>
      <c r="G39" s="3">
        <v>0</v>
      </c>
      <c r="H39" s="3">
        <v>0</v>
      </c>
      <c r="I39" s="3">
        <v>0.06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1"/>
      <c r="P39" s="3" t="s">
        <v>29</v>
      </c>
      <c r="Q39" s="3" t="s">
        <v>30</v>
      </c>
      <c r="R39" s="3" t="s">
        <v>31</v>
      </c>
      <c r="S39" s="3" t="s">
        <v>187</v>
      </c>
      <c r="T39" s="3">
        <v>5755183073277</v>
      </c>
      <c r="U39" s="3">
        <v>410</v>
      </c>
      <c r="V39" s="3" t="s">
        <v>188</v>
      </c>
      <c r="W39" s="3">
        <v>0.06</v>
      </c>
      <c r="X39" s="3">
        <v>10.984021800000001</v>
      </c>
      <c r="Y39" s="3">
        <v>76.924329599999993</v>
      </c>
      <c r="Z39" s="3">
        <v>8667729030</v>
      </c>
    </row>
    <row r="40" spans="1:26" ht="15" customHeight="1" x14ac:dyDescent="0.25">
      <c r="A40" s="3" t="s">
        <v>189</v>
      </c>
      <c r="B40" s="3">
        <f>COUNTIFS(Sheet1!B:B,'Entities table_CCMS Panel View'!A40)</f>
        <v>0</v>
      </c>
      <c r="C40" s="3" t="s">
        <v>26</v>
      </c>
      <c r="D40" s="3" t="s">
        <v>27</v>
      </c>
      <c r="E40" s="3" t="s">
        <v>36</v>
      </c>
      <c r="F40" s="3">
        <v>218.54</v>
      </c>
      <c r="G40" s="3">
        <v>0</v>
      </c>
      <c r="H40" s="3">
        <v>0</v>
      </c>
      <c r="I40" s="3">
        <v>0.04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1"/>
      <c r="P40" s="3" t="s">
        <v>29</v>
      </c>
      <c r="Q40" s="3" t="s">
        <v>30</v>
      </c>
      <c r="R40" s="3" t="s">
        <v>60</v>
      </c>
      <c r="S40" s="3" t="s">
        <v>190</v>
      </c>
      <c r="T40" s="3">
        <v>5755183060046</v>
      </c>
      <c r="U40" s="3">
        <v>9</v>
      </c>
      <c r="V40" s="3" t="s">
        <v>191</v>
      </c>
      <c r="W40" s="3">
        <v>0.04</v>
      </c>
      <c r="X40" s="3">
        <v>10.990599400000001</v>
      </c>
      <c r="Y40" s="3">
        <v>76.9395107</v>
      </c>
      <c r="Z40" s="3">
        <v>9677553379</v>
      </c>
    </row>
    <row r="41" spans="1:26" ht="15" hidden="1" customHeight="1" x14ac:dyDescent="0.25">
      <c r="A41" s="3" t="s">
        <v>192</v>
      </c>
      <c r="B41" s="3">
        <f>COUNTIFS(Sheet1!B:B,'Entities table_CCMS Panel View'!A41)</f>
        <v>1</v>
      </c>
      <c r="C41" s="3" t="s">
        <v>26</v>
      </c>
      <c r="D41" s="3" t="s">
        <v>27</v>
      </c>
      <c r="E41" s="3" t="s">
        <v>68</v>
      </c>
      <c r="F41" s="3">
        <v>226.96</v>
      </c>
      <c r="G41" s="3">
        <v>0</v>
      </c>
      <c r="H41" s="3">
        <v>0</v>
      </c>
      <c r="I41" s="3">
        <v>0.05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1"/>
      <c r="P41" s="3" t="s">
        <v>29</v>
      </c>
      <c r="Q41" s="3" t="s">
        <v>30</v>
      </c>
      <c r="R41" s="3" t="s">
        <v>31</v>
      </c>
      <c r="S41" s="3" t="s">
        <v>193</v>
      </c>
      <c r="T41" s="3">
        <v>5755183128475</v>
      </c>
      <c r="U41" s="3">
        <v>1348</v>
      </c>
      <c r="V41" s="3" t="s">
        <v>194</v>
      </c>
      <c r="W41" s="3">
        <v>0.05</v>
      </c>
      <c r="X41" s="3">
        <v>10.9912472</v>
      </c>
      <c r="Y41" s="3">
        <v>76.926831399999998</v>
      </c>
      <c r="Z41" s="3">
        <v>9080911740</v>
      </c>
    </row>
    <row r="42" spans="1:26" ht="15" hidden="1" customHeight="1" x14ac:dyDescent="0.25">
      <c r="A42" s="3" t="s">
        <v>195</v>
      </c>
      <c r="B42" s="3">
        <f>COUNTIFS(Sheet1!B:B,'Entities table_CCMS Panel View'!A42)</f>
        <v>1</v>
      </c>
      <c r="C42" s="3" t="s">
        <v>26</v>
      </c>
      <c r="D42" s="3" t="s">
        <v>27</v>
      </c>
      <c r="E42" s="3" t="s">
        <v>196</v>
      </c>
      <c r="F42" s="3">
        <v>224.4</v>
      </c>
      <c r="G42" s="3">
        <v>0</v>
      </c>
      <c r="H42" s="3">
        <v>0</v>
      </c>
      <c r="I42" s="3">
        <v>0.05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1"/>
      <c r="P42" s="3" t="s">
        <v>29</v>
      </c>
      <c r="Q42" s="3" t="s">
        <v>30</v>
      </c>
      <c r="R42" s="3" t="s">
        <v>31</v>
      </c>
      <c r="S42" s="3" t="s">
        <v>197</v>
      </c>
      <c r="T42" s="3">
        <v>5755183051481</v>
      </c>
      <c r="U42" s="3" t="s">
        <v>198</v>
      </c>
      <c r="V42" s="3" t="s">
        <v>199</v>
      </c>
      <c r="W42" s="3">
        <v>0.05</v>
      </c>
      <c r="X42" s="3">
        <v>10.986717499999999</v>
      </c>
      <c r="Y42" s="3">
        <v>76.922671300000005</v>
      </c>
      <c r="Z42" s="3">
        <v>8667729030</v>
      </c>
    </row>
    <row r="43" spans="1:26" ht="15" hidden="1" customHeight="1" x14ac:dyDescent="0.25">
      <c r="A43" s="3" t="s">
        <v>200</v>
      </c>
      <c r="B43" s="3">
        <f>COUNTIFS(Sheet1!B:B,'Entities table_CCMS Panel View'!A43)</f>
        <v>1</v>
      </c>
      <c r="C43" s="3" t="s">
        <v>26</v>
      </c>
      <c r="D43" s="3" t="s">
        <v>27</v>
      </c>
      <c r="E43" s="3" t="s">
        <v>201</v>
      </c>
      <c r="F43" s="3">
        <v>229.27</v>
      </c>
      <c r="G43" s="3">
        <v>0</v>
      </c>
      <c r="H43" s="3">
        <v>0</v>
      </c>
      <c r="I43" s="3">
        <v>0.05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1"/>
      <c r="P43" s="3" t="s">
        <v>29</v>
      </c>
      <c r="Q43" s="3" t="s">
        <v>30</v>
      </c>
      <c r="R43" s="3" t="s">
        <v>42</v>
      </c>
      <c r="S43" s="3" t="s">
        <v>202</v>
      </c>
      <c r="T43" s="3">
        <v>5755183072199</v>
      </c>
      <c r="U43" s="3">
        <v>2423</v>
      </c>
      <c r="V43" s="3" t="s">
        <v>203</v>
      </c>
      <c r="W43" s="3">
        <v>0.05</v>
      </c>
      <c r="X43" s="3">
        <v>10.978849200000001</v>
      </c>
      <c r="Y43" s="3">
        <v>76.964191799999995</v>
      </c>
      <c r="Z43" s="3">
        <v>9677553379</v>
      </c>
    </row>
    <row r="44" spans="1:26" ht="15" hidden="1" customHeight="1" x14ac:dyDescent="0.25">
      <c r="A44" s="3" t="s">
        <v>204</v>
      </c>
      <c r="B44" s="3">
        <f>COUNTIFS(Sheet1!B:B,'Entities table_CCMS Panel View'!A44)</f>
        <v>1</v>
      </c>
      <c r="C44" s="3" t="s">
        <v>26</v>
      </c>
      <c r="D44" s="3" t="s">
        <v>27</v>
      </c>
      <c r="E44" s="3" t="s">
        <v>107</v>
      </c>
      <c r="F44" s="3">
        <v>218.25</v>
      </c>
      <c r="G44" s="3">
        <v>0</v>
      </c>
      <c r="H44" s="3">
        <v>0</v>
      </c>
      <c r="I44" s="3">
        <v>7.0000000000000007E-2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1"/>
      <c r="P44" s="3" t="s">
        <v>29</v>
      </c>
      <c r="Q44" s="3" t="s">
        <v>30</v>
      </c>
      <c r="R44" s="3" t="s">
        <v>31</v>
      </c>
      <c r="S44" s="3" t="s">
        <v>205</v>
      </c>
      <c r="T44" s="3">
        <v>5755183068784</v>
      </c>
      <c r="U44" s="3">
        <v>101</v>
      </c>
      <c r="V44" s="3" t="s">
        <v>206</v>
      </c>
      <c r="W44" s="3">
        <v>7.0000000000000007E-2</v>
      </c>
      <c r="X44" s="3">
        <v>10.9998334</v>
      </c>
      <c r="Y44" s="3">
        <v>76.936631500000004</v>
      </c>
      <c r="Z44" s="3">
        <v>9080911740</v>
      </c>
    </row>
    <row r="45" spans="1:26" ht="15" hidden="1" customHeight="1" x14ac:dyDescent="0.25">
      <c r="A45" s="3" t="s">
        <v>207</v>
      </c>
      <c r="B45" s="3">
        <f>COUNTIFS(Sheet1!B:B,'Entities table_CCMS Panel View'!A45)</f>
        <v>1</v>
      </c>
      <c r="C45" s="3" t="s">
        <v>26</v>
      </c>
      <c r="D45" s="3" t="s">
        <v>27</v>
      </c>
      <c r="E45" s="3" t="s">
        <v>80</v>
      </c>
      <c r="F45" s="3">
        <v>214.67</v>
      </c>
      <c r="G45" s="3">
        <v>0</v>
      </c>
      <c r="H45" s="3">
        <v>0</v>
      </c>
      <c r="I45" s="3">
        <v>0.04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1"/>
      <c r="P45" s="3" t="s">
        <v>29</v>
      </c>
      <c r="Q45" s="3" t="s">
        <v>30</v>
      </c>
      <c r="R45" s="3" t="s">
        <v>60</v>
      </c>
      <c r="S45" s="3" t="s">
        <v>208</v>
      </c>
      <c r="T45" s="3">
        <v>5755183073232</v>
      </c>
      <c r="U45" s="3">
        <v>1087</v>
      </c>
      <c r="V45" s="3" t="s">
        <v>209</v>
      </c>
      <c r="W45" s="3">
        <v>0.04</v>
      </c>
      <c r="X45" s="3">
        <v>10.9893936</v>
      </c>
      <c r="Y45" s="3">
        <v>76.940220400000001</v>
      </c>
      <c r="Z45" s="3">
        <v>9677553379</v>
      </c>
    </row>
    <row r="46" spans="1:26" ht="15" hidden="1" customHeight="1" x14ac:dyDescent="0.25">
      <c r="A46" s="3" t="s">
        <v>210</v>
      </c>
      <c r="B46" s="3">
        <f>COUNTIFS(Sheet1!B:B,'Entities table_CCMS Panel View'!A46)</f>
        <v>1</v>
      </c>
      <c r="C46" s="3" t="s">
        <v>26</v>
      </c>
      <c r="D46" s="3" t="s">
        <v>27</v>
      </c>
      <c r="E46" s="3" t="s">
        <v>211</v>
      </c>
      <c r="F46" s="3">
        <v>230.42</v>
      </c>
      <c r="G46" s="3">
        <v>0</v>
      </c>
      <c r="H46" s="3">
        <v>0</v>
      </c>
      <c r="I46" s="3">
        <v>7.0000000000000007E-2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1"/>
      <c r="P46" s="3" t="s">
        <v>29</v>
      </c>
      <c r="Q46" s="3" t="s">
        <v>30</v>
      </c>
      <c r="R46" s="3" t="s">
        <v>31</v>
      </c>
      <c r="S46" s="3" t="s">
        <v>212</v>
      </c>
      <c r="T46" s="3">
        <v>5755183068431</v>
      </c>
      <c r="U46" s="1"/>
      <c r="V46" s="3" t="s">
        <v>213</v>
      </c>
      <c r="W46" s="3">
        <v>7.0000000000000007E-2</v>
      </c>
      <c r="X46" s="3">
        <v>10.985265399999999</v>
      </c>
      <c r="Y46" s="3">
        <v>76.934356399999999</v>
      </c>
      <c r="Z46" s="3">
        <v>8667729030</v>
      </c>
    </row>
    <row r="47" spans="1:26" ht="15" hidden="1" customHeight="1" x14ac:dyDescent="0.25">
      <c r="A47" s="3" t="s">
        <v>214</v>
      </c>
      <c r="B47" s="3">
        <f>COUNTIFS(Sheet1!B:B,'Entities table_CCMS Panel View'!A47)</f>
        <v>1</v>
      </c>
      <c r="C47" s="3" t="s">
        <v>26</v>
      </c>
      <c r="D47" s="3" t="s">
        <v>27</v>
      </c>
      <c r="E47" s="3" t="s">
        <v>80</v>
      </c>
      <c r="F47" s="3">
        <v>215.82</v>
      </c>
      <c r="G47" s="3">
        <v>0</v>
      </c>
      <c r="H47" s="3">
        <v>0</v>
      </c>
      <c r="I47" s="3">
        <v>0.05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 t="s">
        <v>48</v>
      </c>
      <c r="P47" s="3" t="s">
        <v>29</v>
      </c>
      <c r="Q47" s="3" t="s">
        <v>30</v>
      </c>
      <c r="R47" s="3" t="s">
        <v>108</v>
      </c>
      <c r="S47" s="3" t="s">
        <v>215</v>
      </c>
      <c r="T47" s="3">
        <v>5755183072179</v>
      </c>
      <c r="U47" s="3">
        <v>1103</v>
      </c>
      <c r="V47" s="3" t="s">
        <v>216</v>
      </c>
      <c r="W47" s="3">
        <v>0.05</v>
      </c>
      <c r="X47" s="3">
        <v>10.9855138</v>
      </c>
      <c r="Y47" s="3">
        <v>76.936908000000003</v>
      </c>
      <c r="Z47" s="3">
        <v>8667729030</v>
      </c>
    </row>
    <row r="48" spans="1:26" ht="15" hidden="1" customHeight="1" x14ac:dyDescent="0.25">
      <c r="A48" s="3" t="s">
        <v>217</v>
      </c>
      <c r="B48" s="3">
        <f>COUNTIFS(Sheet1!B:B,'Entities table_CCMS Panel View'!A48)</f>
        <v>1</v>
      </c>
      <c r="C48" s="3" t="s">
        <v>26</v>
      </c>
      <c r="D48" s="3" t="s">
        <v>27</v>
      </c>
      <c r="E48" s="3" t="s">
        <v>107</v>
      </c>
      <c r="F48" s="3">
        <v>229.24</v>
      </c>
      <c r="G48" s="3">
        <v>0</v>
      </c>
      <c r="H48" s="3">
        <v>0</v>
      </c>
      <c r="I48" s="3">
        <v>0.05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1"/>
      <c r="P48" s="3" t="s">
        <v>29</v>
      </c>
      <c r="Q48" s="3" t="s">
        <v>30</v>
      </c>
      <c r="R48" s="3" t="s">
        <v>60</v>
      </c>
      <c r="S48" s="3" t="s">
        <v>218</v>
      </c>
      <c r="T48" s="3">
        <v>5755183073249</v>
      </c>
      <c r="U48" s="3">
        <v>2287</v>
      </c>
      <c r="V48" s="3" t="s">
        <v>219</v>
      </c>
      <c r="W48" s="3">
        <v>0.05</v>
      </c>
      <c r="X48" s="3">
        <v>11.0003654</v>
      </c>
      <c r="Y48" s="3">
        <v>76.945761500000003</v>
      </c>
      <c r="Z48" s="3">
        <v>9677553379</v>
      </c>
    </row>
    <row r="49" spans="1:26" ht="15" hidden="1" customHeight="1" x14ac:dyDescent="0.25">
      <c r="A49" s="3" t="s">
        <v>220</v>
      </c>
      <c r="B49" s="3">
        <f>COUNTIFS(Sheet1!B:B,'Entities table_CCMS Panel View'!A49)</f>
        <v>1</v>
      </c>
      <c r="C49" s="3" t="s">
        <v>26</v>
      </c>
      <c r="D49" s="3" t="s">
        <v>27</v>
      </c>
      <c r="E49" s="3" t="s">
        <v>80</v>
      </c>
      <c r="F49" s="3">
        <v>228.14</v>
      </c>
      <c r="G49" s="3">
        <v>0</v>
      </c>
      <c r="H49" s="3">
        <v>0</v>
      </c>
      <c r="I49" s="3">
        <v>0.06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1"/>
      <c r="P49" s="3" t="s">
        <v>29</v>
      </c>
      <c r="Q49" s="3" t="s">
        <v>30</v>
      </c>
      <c r="R49" s="3" t="s">
        <v>42</v>
      </c>
      <c r="S49" s="3" t="s">
        <v>221</v>
      </c>
      <c r="T49" s="3">
        <v>5755183072229</v>
      </c>
      <c r="U49" s="3">
        <v>1457</v>
      </c>
      <c r="V49" s="3" t="s">
        <v>222</v>
      </c>
      <c r="W49" s="3">
        <v>0.06</v>
      </c>
      <c r="X49" s="3">
        <v>10.9761142</v>
      </c>
      <c r="Y49" s="3">
        <v>76.958012699999998</v>
      </c>
      <c r="Z49" s="3">
        <v>9677553379</v>
      </c>
    </row>
    <row r="50" spans="1:26" ht="15" customHeight="1" x14ac:dyDescent="0.25">
      <c r="A50" s="3" t="s">
        <v>223</v>
      </c>
      <c r="B50" s="3">
        <f>COUNTIFS(Sheet1!B:B,'Entities table_CCMS Panel View'!A50)</f>
        <v>0</v>
      </c>
      <c r="C50" s="3" t="s">
        <v>26</v>
      </c>
      <c r="D50" s="3" t="s">
        <v>27</v>
      </c>
      <c r="E50" s="3" t="s">
        <v>80</v>
      </c>
      <c r="F50" s="3">
        <v>217.06</v>
      </c>
      <c r="G50" s="3">
        <v>0</v>
      </c>
      <c r="H50" s="3">
        <v>0</v>
      </c>
      <c r="I50" s="3">
        <v>0.05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1"/>
      <c r="P50" s="3" t="s">
        <v>29</v>
      </c>
      <c r="Q50" s="3" t="s">
        <v>30</v>
      </c>
      <c r="R50" s="3" t="s">
        <v>108</v>
      </c>
      <c r="S50" s="3" t="s">
        <v>224</v>
      </c>
      <c r="T50" s="3">
        <v>5755183068792</v>
      </c>
      <c r="U50" s="3">
        <v>1478</v>
      </c>
      <c r="V50" s="3" t="s">
        <v>225</v>
      </c>
      <c r="W50" s="3">
        <v>0.05</v>
      </c>
      <c r="X50" s="3">
        <v>10.9838407</v>
      </c>
      <c r="Y50" s="3">
        <v>76.938418400000003</v>
      </c>
      <c r="Z50" s="3">
        <v>8667729030</v>
      </c>
    </row>
    <row r="51" spans="1:26" ht="15" hidden="1" customHeight="1" x14ac:dyDescent="0.25">
      <c r="A51" s="3" t="s">
        <v>226</v>
      </c>
      <c r="B51" s="3">
        <f>COUNTIFS(Sheet1!B:B,'Entities table_CCMS Panel View'!A51)</f>
        <v>1</v>
      </c>
      <c r="C51" s="3" t="s">
        <v>26</v>
      </c>
      <c r="D51" s="3" t="s">
        <v>27</v>
      </c>
      <c r="E51" s="3" t="s">
        <v>36</v>
      </c>
      <c r="F51" s="3">
        <v>226.33</v>
      </c>
      <c r="G51" s="3">
        <v>0</v>
      </c>
      <c r="H51" s="3">
        <v>0</v>
      </c>
      <c r="I51" s="3">
        <v>0.05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1"/>
      <c r="P51" s="3" t="s">
        <v>29</v>
      </c>
      <c r="Q51" s="3" t="s">
        <v>30</v>
      </c>
      <c r="R51" s="3" t="s">
        <v>31</v>
      </c>
      <c r="S51" s="3" t="s">
        <v>227</v>
      </c>
      <c r="T51" s="3">
        <v>5755183072063</v>
      </c>
      <c r="U51" s="3">
        <v>102</v>
      </c>
      <c r="V51" s="3" t="s">
        <v>228</v>
      </c>
      <c r="W51" s="3">
        <v>0.05</v>
      </c>
      <c r="X51" s="3">
        <v>10.9972893</v>
      </c>
      <c r="Y51" s="3">
        <v>76.934169699999998</v>
      </c>
      <c r="Z51" s="3">
        <v>9080911740</v>
      </c>
    </row>
    <row r="52" spans="1:26" ht="15" customHeight="1" x14ac:dyDescent="0.25">
      <c r="A52" s="3" t="s">
        <v>229</v>
      </c>
      <c r="B52" s="3">
        <f>COUNTIFS(Sheet1!B:B,'Entities table_CCMS Panel View'!A52)</f>
        <v>0</v>
      </c>
      <c r="C52" s="3" t="s">
        <v>26</v>
      </c>
      <c r="D52" s="3" t="s">
        <v>27</v>
      </c>
      <c r="E52" s="3" t="s">
        <v>80</v>
      </c>
      <c r="F52" s="3">
        <v>214.12</v>
      </c>
      <c r="G52" s="3">
        <v>0</v>
      </c>
      <c r="H52" s="3">
        <v>0</v>
      </c>
      <c r="I52" s="3">
        <v>0.05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1"/>
      <c r="P52" s="3" t="s">
        <v>29</v>
      </c>
      <c r="Q52" s="3" t="s">
        <v>30</v>
      </c>
      <c r="R52" s="3" t="s">
        <v>60</v>
      </c>
      <c r="S52" s="3" t="s">
        <v>230</v>
      </c>
      <c r="T52" s="3">
        <v>5755183072065</v>
      </c>
      <c r="U52" s="3">
        <v>1732</v>
      </c>
      <c r="V52" s="3" t="s">
        <v>231</v>
      </c>
      <c r="W52" s="3">
        <v>0.04</v>
      </c>
      <c r="X52" s="3">
        <v>10.995143000000001</v>
      </c>
      <c r="Y52" s="3">
        <v>76.940573000000001</v>
      </c>
      <c r="Z52" s="3">
        <v>9677553379</v>
      </c>
    </row>
    <row r="53" spans="1:26" ht="15" hidden="1" customHeight="1" x14ac:dyDescent="0.25">
      <c r="A53" s="3" t="s">
        <v>232</v>
      </c>
      <c r="B53" s="3">
        <f>COUNTIFS(Sheet1!B:B,'Entities table_CCMS Panel View'!A53)</f>
        <v>1</v>
      </c>
      <c r="C53" s="3" t="s">
        <v>26</v>
      </c>
      <c r="D53" s="3" t="s">
        <v>27</v>
      </c>
      <c r="E53" s="3" t="s">
        <v>113</v>
      </c>
      <c r="F53" s="3">
        <v>224.17</v>
      </c>
      <c r="G53" s="3">
        <v>0</v>
      </c>
      <c r="H53" s="3">
        <v>0</v>
      </c>
      <c r="I53" s="3">
        <v>0.05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1"/>
      <c r="P53" s="3" t="s">
        <v>29</v>
      </c>
      <c r="Q53" s="3" t="s">
        <v>30</v>
      </c>
      <c r="R53" s="3" t="s">
        <v>42</v>
      </c>
      <c r="S53" s="3" t="s">
        <v>233</v>
      </c>
      <c r="T53" s="3">
        <v>5755183072720</v>
      </c>
      <c r="U53" s="3">
        <v>2273</v>
      </c>
      <c r="V53" s="3" t="s">
        <v>234</v>
      </c>
      <c r="W53" s="3">
        <v>0.05</v>
      </c>
      <c r="X53" s="3">
        <v>10.978894199999999</v>
      </c>
      <c r="Y53" s="3">
        <v>76.9618392</v>
      </c>
      <c r="Z53" s="3">
        <v>9677553379</v>
      </c>
    </row>
    <row r="54" spans="1:26" ht="15" hidden="1" customHeight="1" x14ac:dyDescent="0.25">
      <c r="A54" s="3" t="s">
        <v>235</v>
      </c>
      <c r="B54" s="3">
        <f>COUNTIFS(Sheet1!B:B,'Entities table_CCMS Panel View'!A54)</f>
        <v>1</v>
      </c>
      <c r="C54" s="3" t="s">
        <v>26</v>
      </c>
      <c r="D54" s="3" t="s">
        <v>27</v>
      </c>
      <c r="E54" s="3" t="s">
        <v>64</v>
      </c>
      <c r="F54" s="3">
        <v>210.04</v>
      </c>
      <c r="G54" s="3">
        <v>0</v>
      </c>
      <c r="H54" s="3">
        <v>0</v>
      </c>
      <c r="I54" s="3">
        <v>0.05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1"/>
      <c r="P54" s="3" t="s">
        <v>29</v>
      </c>
      <c r="Q54" s="3" t="s">
        <v>30</v>
      </c>
      <c r="R54" s="3" t="s">
        <v>37</v>
      </c>
      <c r="S54" s="3" t="s">
        <v>236</v>
      </c>
      <c r="T54" s="3">
        <v>5755183073347</v>
      </c>
      <c r="U54" s="3">
        <v>697</v>
      </c>
      <c r="V54" s="3" t="s">
        <v>237</v>
      </c>
      <c r="W54" s="3">
        <v>0.05</v>
      </c>
      <c r="X54" s="3">
        <v>10.987508399999999</v>
      </c>
      <c r="Y54" s="3">
        <v>76.936398199999999</v>
      </c>
      <c r="Z54" s="3">
        <v>9677553379</v>
      </c>
    </row>
    <row r="55" spans="1:26" ht="15" hidden="1" customHeight="1" x14ac:dyDescent="0.25">
      <c r="A55" s="3" t="s">
        <v>238</v>
      </c>
      <c r="B55" s="3">
        <f>COUNTIFS(Sheet1!B:B,'Entities table_CCMS Panel View'!A55)</f>
        <v>1</v>
      </c>
      <c r="C55" s="3" t="s">
        <v>26</v>
      </c>
      <c r="D55" s="3" t="s">
        <v>27</v>
      </c>
      <c r="E55" s="3" t="s">
        <v>80</v>
      </c>
      <c r="F55" s="3">
        <v>214.34</v>
      </c>
      <c r="G55" s="3">
        <v>0</v>
      </c>
      <c r="H55" s="3">
        <v>0</v>
      </c>
      <c r="I55" s="3">
        <v>0.06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1"/>
      <c r="P55" s="3" t="s">
        <v>29</v>
      </c>
      <c r="Q55" s="3" t="s">
        <v>30</v>
      </c>
      <c r="R55" s="3" t="s">
        <v>108</v>
      </c>
      <c r="S55" s="3" t="s">
        <v>239</v>
      </c>
      <c r="T55" s="3">
        <v>5755183073522</v>
      </c>
      <c r="U55" s="3">
        <v>96</v>
      </c>
      <c r="V55" s="3" t="s">
        <v>240</v>
      </c>
      <c r="W55" s="3">
        <v>0.06</v>
      </c>
      <c r="X55" s="3">
        <v>10.9874916</v>
      </c>
      <c r="Y55" s="3">
        <v>76.9348229</v>
      </c>
      <c r="Z55" s="3">
        <v>8667729030</v>
      </c>
    </row>
    <row r="56" spans="1:26" ht="15" hidden="1" customHeight="1" x14ac:dyDescent="0.25">
      <c r="A56" s="3" t="s">
        <v>241</v>
      </c>
      <c r="B56" s="3">
        <f>COUNTIFS(Sheet1!B:B,'Entities table_CCMS Panel View'!A56)</f>
        <v>1</v>
      </c>
      <c r="C56" s="3" t="s">
        <v>26</v>
      </c>
      <c r="D56" s="3" t="s">
        <v>27</v>
      </c>
      <c r="E56" s="3" t="s">
        <v>242</v>
      </c>
      <c r="F56" s="3">
        <v>232.1</v>
      </c>
      <c r="G56" s="3">
        <v>0</v>
      </c>
      <c r="H56" s="3">
        <v>0</v>
      </c>
      <c r="I56" s="3">
        <v>0.04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1"/>
      <c r="P56" s="3" t="s">
        <v>29</v>
      </c>
      <c r="Q56" s="3" t="s">
        <v>30</v>
      </c>
      <c r="R56" s="3" t="s">
        <v>42</v>
      </c>
      <c r="S56" s="3" t="s">
        <v>243</v>
      </c>
      <c r="T56" s="3">
        <v>5755183072473</v>
      </c>
      <c r="U56" s="3">
        <v>1402</v>
      </c>
      <c r="V56" s="3" t="s">
        <v>244</v>
      </c>
      <c r="W56" s="3">
        <v>0.04</v>
      </c>
      <c r="X56" s="3">
        <v>10.9884431</v>
      </c>
      <c r="Y56" s="3">
        <v>76.965926199999998</v>
      </c>
      <c r="Z56" s="3">
        <v>9677553379</v>
      </c>
    </row>
    <row r="57" spans="1:26" ht="15" hidden="1" customHeight="1" x14ac:dyDescent="0.25">
      <c r="A57" s="3" t="s">
        <v>245</v>
      </c>
      <c r="B57" s="3">
        <f>COUNTIFS(Sheet1!B:B,'Entities table_CCMS Panel View'!A57)</f>
        <v>1</v>
      </c>
      <c r="C57" s="3" t="s">
        <v>26</v>
      </c>
      <c r="D57" s="3" t="s">
        <v>27</v>
      </c>
      <c r="E57" s="3" t="s">
        <v>128</v>
      </c>
      <c r="F57" s="3">
        <v>225.05</v>
      </c>
      <c r="G57" s="3">
        <v>0</v>
      </c>
      <c r="H57" s="3">
        <v>0</v>
      </c>
      <c r="I57" s="3">
        <v>0.05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1"/>
      <c r="P57" s="3" t="s">
        <v>29</v>
      </c>
      <c r="Q57" s="3" t="s">
        <v>30</v>
      </c>
      <c r="R57" s="3" t="s">
        <v>31</v>
      </c>
      <c r="S57" s="3" t="s">
        <v>246</v>
      </c>
      <c r="T57" s="3">
        <v>5755183068855</v>
      </c>
      <c r="U57" s="3">
        <v>2576</v>
      </c>
      <c r="V57" s="3" t="s">
        <v>247</v>
      </c>
      <c r="W57" s="3">
        <v>0.05</v>
      </c>
      <c r="X57" s="3">
        <v>10.9912472</v>
      </c>
      <c r="Y57" s="3">
        <v>76.926831399999998</v>
      </c>
      <c r="Z57" s="3">
        <v>9080911740</v>
      </c>
    </row>
    <row r="58" spans="1:26" ht="15" hidden="1" customHeight="1" x14ac:dyDescent="0.25">
      <c r="A58" s="3" t="s">
        <v>248</v>
      </c>
      <c r="B58" s="3">
        <f>COUNTIFS(Sheet1!B:B,'Entities table_CCMS Panel View'!A58)</f>
        <v>1</v>
      </c>
      <c r="C58" s="3" t="s">
        <v>26</v>
      </c>
      <c r="D58" s="3" t="s">
        <v>27</v>
      </c>
      <c r="E58" s="3" t="s">
        <v>249</v>
      </c>
      <c r="F58" s="3">
        <v>230.98</v>
      </c>
      <c r="G58" s="3">
        <v>0</v>
      </c>
      <c r="H58" s="3">
        <v>0</v>
      </c>
      <c r="I58" s="3">
        <v>0.06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1"/>
      <c r="P58" s="3" t="s">
        <v>29</v>
      </c>
      <c r="Q58" s="3" t="s">
        <v>30</v>
      </c>
      <c r="R58" s="3" t="s">
        <v>31</v>
      </c>
      <c r="S58" s="3" t="s">
        <v>250</v>
      </c>
      <c r="T58" s="3">
        <v>5755183072853</v>
      </c>
      <c r="U58" s="3">
        <v>3670</v>
      </c>
      <c r="V58" s="3" t="s">
        <v>251</v>
      </c>
      <c r="W58" s="3">
        <v>0.06</v>
      </c>
      <c r="X58" s="3">
        <v>10.9912472</v>
      </c>
      <c r="Y58" s="3">
        <v>76.926831399999998</v>
      </c>
      <c r="Z58" s="3">
        <v>9080911740</v>
      </c>
    </row>
    <row r="59" spans="1:26" ht="15" hidden="1" customHeight="1" x14ac:dyDescent="0.25">
      <c r="A59" s="3" t="s">
        <v>252</v>
      </c>
      <c r="B59" s="3">
        <f>COUNTIFS(Sheet1!B:B,'Entities table_CCMS Panel View'!A59)</f>
        <v>1</v>
      </c>
      <c r="C59" s="3" t="s">
        <v>26</v>
      </c>
      <c r="D59" s="3" t="s">
        <v>27</v>
      </c>
      <c r="E59" s="3" t="s">
        <v>80</v>
      </c>
      <c r="F59" s="3">
        <v>200.79</v>
      </c>
      <c r="G59" s="3">
        <v>0</v>
      </c>
      <c r="H59" s="3">
        <v>0</v>
      </c>
      <c r="I59" s="3">
        <v>0.05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1"/>
      <c r="P59" s="3" t="s">
        <v>29</v>
      </c>
      <c r="Q59" s="3" t="s">
        <v>30</v>
      </c>
      <c r="R59" s="3" t="s">
        <v>42</v>
      </c>
      <c r="S59" s="3" t="s">
        <v>253</v>
      </c>
      <c r="T59" s="3">
        <v>5755183072876</v>
      </c>
      <c r="U59" s="3">
        <v>2278</v>
      </c>
      <c r="V59" s="3" t="s">
        <v>254</v>
      </c>
      <c r="W59" s="3">
        <v>0.05</v>
      </c>
      <c r="X59" s="3">
        <v>10.978881599999999</v>
      </c>
      <c r="Y59" s="3">
        <v>76.963211900000005</v>
      </c>
      <c r="Z59" s="3">
        <v>9677553379</v>
      </c>
    </row>
    <row r="60" spans="1:26" ht="15" hidden="1" customHeight="1" x14ac:dyDescent="0.25">
      <c r="A60" s="3" t="s">
        <v>255</v>
      </c>
      <c r="B60" s="3">
        <f>COUNTIFS(Sheet1!B:B,'Entities table_CCMS Panel View'!A60)</f>
        <v>1</v>
      </c>
      <c r="C60" s="3" t="s">
        <v>26</v>
      </c>
      <c r="D60" s="3" t="s">
        <v>27</v>
      </c>
      <c r="E60" s="3" t="s">
        <v>256</v>
      </c>
      <c r="F60" s="3">
        <v>222.95</v>
      </c>
      <c r="G60" s="3">
        <v>0</v>
      </c>
      <c r="H60" s="3">
        <v>0</v>
      </c>
      <c r="I60" s="3">
        <v>0.04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1"/>
      <c r="P60" s="3" t="s">
        <v>29</v>
      </c>
      <c r="Q60" s="3" t="s">
        <v>30</v>
      </c>
      <c r="R60" s="3" t="s">
        <v>31</v>
      </c>
      <c r="S60" s="3" t="s">
        <v>257</v>
      </c>
      <c r="T60" s="3">
        <v>5755183068856</v>
      </c>
      <c r="U60" s="3">
        <v>1059</v>
      </c>
      <c r="V60" s="3" t="s">
        <v>258</v>
      </c>
      <c r="W60" s="3">
        <v>0.04</v>
      </c>
      <c r="X60" s="3">
        <v>10.989464699999999</v>
      </c>
      <c r="Y60" s="3">
        <v>76.926900599999996</v>
      </c>
      <c r="Z60" s="3">
        <v>8667729030</v>
      </c>
    </row>
    <row r="61" spans="1:26" ht="15" hidden="1" customHeight="1" x14ac:dyDescent="0.25">
      <c r="A61" s="3" t="s">
        <v>259</v>
      </c>
      <c r="B61" s="3">
        <f>COUNTIFS(Sheet1!B:B,'Entities table_CCMS Panel View'!A61)</f>
        <v>1</v>
      </c>
      <c r="C61" s="3" t="s">
        <v>26</v>
      </c>
      <c r="D61" s="3" t="s">
        <v>27</v>
      </c>
      <c r="E61" s="3" t="s">
        <v>260</v>
      </c>
      <c r="F61" s="3">
        <v>225.11</v>
      </c>
      <c r="G61" s="3">
        <v>226.28</v>
      </c>
      <c r="H61" s="3">
        <v>0</v>
      </c>
      <c r="I61" s="3">
        <v>0</v>
      </c>
      <c r="J61" s="3">
        <v>0</v>
      </c>
      <c r="K61" s="3">
        <v>0</v>
      </c>
      <c r="L61" s="3">
        <v>0.01</v>
      </c>
      <c r="M61" s="3">
        <v>0</v>
      </c>
      <c r="N61" s="3">
        <v>0</v>
      </c>
      <c r="O61" s="3" t="s">
        <v>261</v>
      </c>
      <c r="P61" s="3" t="s">
        <v>179</v>
      </c>
      <c r="Q61" s="3" t="s">
        <v>30</v>
      </c>
      <c r="R61" s="3" t="s">
        <v>37</v>
      </c>
      <c r="S61" s="3" t="s">
        <v>262</v>
      </c>
      <c r="T61" s="1"/>
      <c r="U61" s="3">
        <v>441</v>
      </c>
      <c r="V61" s="3" t="s">
        <v>263</v>
      </c>
      <c r="W61" s="3">
        <v>0</v>
      </c>
      <c r="X61" s="3">
        <v>10.988387700000001</v>
      </c>
      <c r="Y61" s="3">
        <v>76.940719799999997</v>
      </c>
      <c r="Z61" s="3">
        <v>9677553379</v>
      </c>
    </row>
    <row r="62" spans="1:26" ht="15" hidden="1" customHeight="1" x14ac:dyDescent="0.25">
      <c r="A62" s="3" t="s">
        <v>264</v>
      </c>
      <c r="B62" s="3">
        <f>COUNTIFS(Sheet1!B:B,'Entities table_CCMS Panel View'!A62)</f>
        <v>1</v>
      </c>
      <c r="C62" s="3" t="s">
        <v>26</v>
      </c>
      <c r="D62" s="3" t="s">
        <v>27</v>
      </c>
      <c r="E62" s="3" t="s">
        <v>80</v>
      </c>
      <c r="F62" s="3">
        <v>224.85</v>
      </c>
      <c r="G62" s="3">
        <v>0</v>
      </c>
      <c r="H62" s="3">
        <v>0</v>
      </c>
      <c r="I62" s="3">
        <v>0.05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1"/>
      <c r="P62" s="3" t="s">
        <v>29</v>
      </c>
      <c r="Q62" s="3" t="s">
        <v>30</v>
      </c>
      <c r="R62" s="3" t="s">
        <v>31</v>
      </c>
      <c r="S62" s="3" t="s">
        <v>265</v>
      </c>
      <c r="T62" s="3">
        <v>5755183073360</v>
      </c>
      <c r="U62" s="3">
        <v>3845</v>
      </c>
      <c r="V62" s="3" t="s">
        <v>266</v>
      </c>
      <c r="W62" s="3">
        <v>0.05</v>
      </c>
      <c r="X62" s="3">
        <v>10.9898814</v>
      </c>
      <c r="Y62" s="3">
        <v>76.924974599999999</v>
      </c>
      <c r="Z62" s="3">
        <v>8667729030</v>
      </c>
    </row>
    <row r="63" spans="1:26" ht="15" hidden="1" customHeight="1" x14ac:dyDescent="0.25">
      <c r="A63" s="3" t="s">
        <v>267</v>
      </c>
      <c r="B63" s="3">
        <f>COUNTIFS(Sheet1!B:B,'Entities table_CCMS Panel View'!A63)</f>
        <v>1</v>
      </c>
      <c r="C63" s="3" t="s">
        <v>26</v>
      </c>
      <c r="D63" s="3" t="s">
        <v>27</v>
      </c>
      <c r="E63" s="3" t="s">
        <v>41</v>
      </c>
      <c r="F63" s="3">
        <v>227</v>
      </c>
      <c r="G63" s="3">
        <v>0</v>
      </c>
      <c r="H63" s="3">
        <v>0</v>
      </c>
      <c r="I63" s="3">
        <v>0.05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1"/>
      <c r="P63" s="3" t="s">
        <v>29</v>
      </c>
      <c r="Q63" s="3" t="s">
        <v>30</v>
      </c>
      <c r="R63" s="3" t="s">
        <v>42</v>
      </c>
      <c r="S63" s="3" t="s">
        <v>268</v>
      </c>
      <c r="T63" s="3">
        <v>5755183072448</v>
      </c>
      <c r="U63" s="3">
        <v>1266</v>
      </c>
      <c r="V63" s="3" t="s">
        <v>269</v>
      </c>
      <c r="W63" s="3">
        <v>0.05</v>
      </c>
      <c r="X63" s="3">
        <v>10.9744557</v>
      </c>
      <c r="Y63" s="3">
        <v>76.965421199999994</v>
      </c>
      <c r="Z63" s="3">
        <v>8667729030</v>
      </c>
    </row>
    <row r="64" spans="1:26" ht="15" customHeight="1" x14ac:dyDescent="0.25">
      <c r="A64" s="3" t="s">
        <v>270</v>
      </c>
      <c r="B64" s="3">
        <f>COUNTIFS(Sheet1!B:B,'Entities table_CCMS Panel View'!A64)</f>
        <v>0</v>
      </c>
      <c r="C64" s="3" t="s">
        <v>26</v>
      </c>
      <c r="D64" s="3" t="s">
        <v>27</v>
      </c>
      <c r="E64" s="3" t="s">
        <v>64</v>
      </c>
      <c r="F64" s="3">
        <v>219.16</v>
      </c>
      <c r="G64" s="3">
        <v>0</v>
      </c>
      <c r="H64" s="3">
        <v>0</v>
      </c>
      <c r="I64" s="3">
        <v>0.05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1"/>
      <c r="P64" s="3" t="s">
        <v>29</v>
      </c>
      <c r="Q64" s="3" t="s">
        <v>30</v>
      </c>
      <c r="R64" s="3" t="s">
        <v>108</v>
      </c>
      <c r="S64" s="3" t="s">
        <v>271</v>
      </c>
      <c r="T64" s="3">
        <v>5755183072633</v>
      </c>
      <c r="U64" s="3">
        <v>908</v>
      </c>
      <c r="V64" s="3" t="s">
        <v>272</v>
      </c>
      <c r="W64" s="3">
        <v>0.05</v>
      </c>
      <c r="X64" s="3">
        <v>10.9863248</v>
      </c>
      <c r="Y64" s="3">
        <v>76.938257800000002</v>
      </c>
      <c r="Z64" s="3">
        <v>8667729030</v>
      </c>
    </row>
    <row r="65" spans="1:26" ht="15" hidden="1" customHeight="1" x14ac:dyDescent="0.25">
      <c r="A65" s="3" t="s">
        <v>273</v>
      </c>
      <c r="B65" s="3">
        <f>COUNTIFS(Sheet1!B:B,'Entities table_CCMS Panel View'!A65)</f>
        <v>1</v>
      </c>
      <c r="C65" s="3" t="s">
        <v>26</v>
      </c>
      <c r="D65" s="3" t="s">
        <v>27</v>
      </c>
      <c r="E65" s="3" t="s">
        <v>80</v>
      </c>
      <c r="F65" s="3">
        <v>227.32</v>
      </c>
      <c r="G65" s="3">
        <v>0</v>
      </c>
      <c r="H65" s="3">
        <v>0</v>
      </c>
      <c r="I65" s="3">
        <v>0.05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1"/>
      <c r="P65" s="3" t="s">
        <v>29</v>
      </c>
      <c r="Q65" s="3" t="s">
        <v>30</v>
      </c>
      <c r="R65" s="3" t="s">
        <v>42</v>
      </c>
      <c r="S65" s="3" t="s">
        <v>274</v>
      </c>
      <c r="T65" s="3">
        <v>5755183072180</v>
      </c>
      <c r="U65" s="1"/>
      <c r="V65" s="3" t="s">
        <v>275</v>
      </c>
      <c r="W65" s="3">
        <v>0.05</v>
      </c>
      <c r="X65" s="3">
        <v>10.9773</v>
      </c>
      <c r="Y65" s="3">
        <v>76.962410000000006</v>
      </c>
      <c r="Z65" s="3">
        <v>9677553379</v>
      </c>
    </row>
    <row r="66" spans="1:26" ht="15" customHeight="1" x14ac:dyDescent="0.25">
      <c r="A66" s="3" t="s">
        <v>276</v>
      </c>
      <c r="B66" s="3">
        <f>COUNTIFS(Sheet1!B:B,'Entities table_CCMS Panel View'!A66)</f>
        <v>0</v>
      </c>
      <c r="C66" s="3" t="s">
        <v>26</v>
      </c>
      <c r="D66" s="3" t="s">
        <v>27</v>
      </c>
      <c r="E66" s="3" t="s">
        <v>72</v>
      </c>
      <c r="F66" s="3">
        <v>213.64</v>
      </c>
      <c r="G66" s="3">
        <v>0</v>
      </c>
      <c r="H66" s="3">
        <v>0</v>
      </c>
      <c r="I66" s="3">
        <v>0.05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1"/>
      <c r="P66" s="3" t="s">
        <v>29</v>
      </c>
      <c r="Q66" s="3" t="s">
        <v>30</v>
      </c>
      <c r="R66" s="3" t="s">
        <v>108</v>
      </c>
      <c r="S66" s="3" t="s">
        <v>277</v>
      </c>
      <c r="T66" s="3">
        <v>5755183013298</v>
      </c>
      <c r="U66" s="3">
        <v>581</v>
      </c>
      <c r="V66" s="3" t="s">
        <v>278</v>
      </c>
      <c r="W66" s="3">
        <v>0.06</v>
      </c>
      <c r="X66" s="3">
        <v>10.985998199999999</v>
      </c>
      <c r="Y66" s="3">
        <v>76.941440099999994</v>
      </c>
      <c r="Z66" s="3">
        <v>8667729030</v>
      </c>
    </row>
    <row r="67" spans="1:26" ht="15" customHeight="1" x14ac:dyDescent="0.25">
      <c r="A67" s="3" t="s">
        <v>279</v>
      </c>
      <c r="B67" s="3">
        <f>COUNTIFS(Sheet1!B:B,'Entities table_CCMS Panel View'!A67)</f>
        <v>0</v>
      </c>
      <c r="C67" s="3" t="s">
        <v>26</v>
      </c>
      <c r="D67" s="3" t="s">
        <v>27</v>
      </c>
      <c r="E67" s="3" t="s">
        <v>280</v>
      </c>
      <c r="F67" s="3">
        <v>230.98</v>
      </c>
      <c r="G67" s="3">
        <v>0</v>
      </c>
      <c r="H67" s="3">
        <v>0</v>
      </c>
      <c r="I67" s="3">
        <v>0.05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1"/>
      <c r="P67" s="3" t="s">
        <v>29</v>
      </c>
      <c r="Q67" s="3" t="s">
        <v>30</v>
      </c>
      <c r="R67" s="3" t="s">
        <v>31</v>
      </c>
      <c r="S67" s="3" t="s">
        <v>281</v>
      </c>
      <c r="T67" s="3">
        <v>5755183059511</v>
      </c>
      <c r="U67" s="3">
        <v>1252</v>
      </c>
      <c r="V67" s="3" t="s">
        <v>282</v>
      </c>
      <c r="W67" s="3">
        <v>0.05</v>
      </c>
      <c r="X67" s="3">
        <v>10.9938728</v>
      </c>
      <c r="Y67" s="3">
        <v>76.930419799999996</v>
      </c>
      <c r="Z67" s="3">
        <v>9080911740</v>
      </c>
    </row>
    <row r="68" spans="1:26" ht="15" customHeight="1" x14ac:dyDescent="0.25">
      <c r="A68" s="3" t="s">
        <v>283</v>
      </c>
      <c r="B68" s="3">
        <f>COUNTIFS(Sheet1!B:B,'Entities table_CCMS Panel View'!A68)</f>
        <v>0</v>
      </c>
      <c r="C68" s="3" t="s">
        <v>26</v>
      </c>
      <c r="D68" s="3" t="s">
        <v>27</v>
      </c>
      <c r="E68" s="3" t="s">
        <v>80</v>
      </c>
      <c r="F68" s="3">
        <v>230.95</v>
      </c>
      <c r="G68" s="3">
        <v>0</v>
      </c>
      <c r="H68" s="3">
        <v>0</v>
      </c>
      <c r="I68" s="3">
        <v>0.05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1"/>
      <c r="P68" s="3" t="s">
        <v>29</v>
      </c>
      <c r="Q68" s="3" t="s">
        <v>30</v>
      </c>
      <c r="R68" s="3" t="s">
        <v>42</v>
      </c>
      <c r="S68" s="3" t="s">
        <v>284</v>
      </c>
      <c r="T68" s="3">
        <v>5755183073422</v>
      </c>
      <c r="U68" s="3">
        <v>1404</v>
      </c>
      <c r="V68" s="3" t="s">
        <v>285</v>
      </c>
      <c r="W68" s="3">
        <v>0.05</v>
      </c>
      <c r="X68" s="3">
        <v>10.985346099999999</v>
      </c>
      <c r="Y68" s="3">
        <v>76.966286299999993</v>
      </c>
      <c r="Z68" s="3">
        <v>9677553379</v>
      </c>
    </row>
    <row r="69" spans="1:26" ht="15" customHeight="1" x14ac:dyDescent="0.25">
      <c r="A69" s="3" t="s">
        <v>286</v>
      </c>
      <c r="B69" s="3">
        <f>COUNTIFS(Sheet1!B:B,'Entities table_CCMS Panel View'!A69)</f>
        <v>0</v>
      </c>
      <c r="C69" s="3" t="s">
        <v>101</v>
      </c>
      <c r="D69" s="3" t="s">
        <v>102</v>
      </c>
      <c r="E69" s="3" t="s">
        <v>287</v>
      </c>
      <c r="F69" s="3">
        <v>250.91</v>
      </c>
      <c r="G69" s="3">
        <v>247.97</v>
      </c>
      <c r="H69" s="3">
        <v>251.03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 t="s">
        <v>288</v>
      </c>
      <c r="P69" s="3" t="s">
        <v>29</v>
      </c>
      <c r="Q69" s="3" t="s">
        <v>30</v>
      </c>
      <c r="R69" s="3" t="s">
        <v>42</v>
      </c>
      <c r="S69" s="3" t="s">
        <v>289</v>
      </c>
      <c r="T69" s="3">
        <v>8300838826</v>
      </c>
      <c r="U69" s="1"/>
      <c r="V69" s="3" t="s">
        <v>290</v>
      </c>
      <c r="W69" s="3">
        <v>0</v>
      </c>
      <c r="X69" s="3">
        <v>10.978927199999999</v>
      </c>
      <c r="Y69" s="3">
        <v>76.960213499999995</v>
      </c>
      <c r="Z69" s="1"/>
    </row>
    <row r="70" spans="1:26" ht="15" hidden="1" customHeight="1" x14ac:dyDescent="0.25">
      <c r="A70" s="3" t="s">
        <v>291</v>
      </c>
      <c r="B70" s="3">
        <f>COUNTIFS(Sheet1!B:B,'Entities table_CCMS Panel View'!A70)</f>
        <v>1</v>
      </c>
      <c r="C70" s="3" t="s">
        <v>26</v>
      </c>
      <c r="D70" s="3" t="s">
        <v>27</v>
      </c>
      <c r="E70" s="3" t="s">
        <v>80</v>
      </c>
      <c r="F70" s="3">
        <v>226.59</v>
      </c>
      <c r="G70" s="3">
        <v>0</v>
      </c>
      <c r="H70" s="3">
        <v>0</v>
      </c>
      <c r="I70" s="3">
        <v>0.04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1"/>
      <c r="P70" s="3" t="s">
        <v>29</v>
      </c>
      <c r="Q70" s="3" t="s">
        <v>30</v>
      </c>
      <c r="R70" s="3" t="s">
        <v>42</v>
      </c>
      <c r="S70" s="3" t="s">
        <v>292</v>
      </c>
      <c r="T70" s="3">
        <v>5755183002745</v>
      </c>
      <c r="U70" s="3">
        <v>1247</v>
      </c>
      <c r="V70" s="3" t="s">
        <v>293</v>
      </c>
      <c r="W70" s="3">
        <v>0.04</v>
      </c>
      <c r="X70" s="3">
        <v>10.975809399999999</v>
      </c>
      <c r="Y70" s="3">
        <v>76.964661399999997</v>
      </c>
      <c r="Z70" s="3">
        <v>8667729030</v>
      </c>
    </row>
    <row r="71" spans="1:26" ht="15" hidden="1" customHeight="1" x14ac:dyDescent="0.25">
      <c r="A71" s="3" t="s">
        <v>294</v>
      </c>
      <c r="B71" s="3">
        <f>COUNTIFS(Sheet1!B:B,'Entities table_CCMS Panel View'!A71)</f>
        <v>1</v>
      </c>
      <c r="C71" s="3" t="s">
        <v>26</v>
      </c>
      <c r="D71" s="3" t="s">
        <v>27</v>
      </c>
      <c r="E71" s="3" t="s">
        <v>89</v>
      </c>
      <c r="F71" s="3">
        <v>212.97</v>
      </c>
      <c r="G71" s="3">
        <v>0</v>
      </c>
      <c r="H71" s="3">
        <v>0</v>
      </c>
      <c r="I71" s="3">
        <v>0.05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1"/>
      <c r="P71" s="3" t="s">
        <v>29</v>
      </c>
      <c r="Q71" s="3" t="s">
        <v>30</v>
      </c>
      <c r="R71" s="3" t="s">
        <v>37</v>
      </c>
      <c r="S71" s="3" t="s">
        <v>295</v>
      </c>
      <c r="T71" s="3">
        <v>5755183072123</v>
      </c>
      <c r="U71" s="3">
        <v>1086</v>
      </c>
      <c r="V71" s="3" t="s">
        <v>296</v>
      </c>
      <c r="W71" s="3">
        <v>0.05</v>
      </c>
      <c r="X71" s="3">
        <v>10.9883962</v>
      </c>
      <c r="Y71" s="3">
        <v>76.936403400000003</v>
      </c>
      <c r="Z71" s="3">
        <v>8667729030</v>
      </c>
    </row>
    <row r="72" spans="1:26" ht="15" hidden="1" customHeight="1" x14ac:dyDescent="0.25">
      <c r="A72" s="3" t="s">
        <v>297</v>
      </c>
      <c r="B72" s="3">
        <f>COUNTIFS(Sheet1!B:B,'Entities table_CCMS Panel View'!A72)</f>
        <v>1</v>
      </c>
      <c r="C72" s="3" t="s">
        <v>26</v>
      </c>
      <c r="D72" s="3" t="s">
        <v>27</v>
      </c>
      <c r="E72" s="3" t="s">
        <v>298</v>
      </c>
      <c r="F72" s="3">
        <v>203.85</v>
      </c>
      <c r="G72" s="3">
        <v>231.76</v>
      </c>
      <c r="H72" s="3">
        <v>216.01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1"/>
      <c r="P72" s="3" t="s">
        <v>29</v>
      </c>
      <c r="Q72" s="3" t="s">
        <v>30</v>
      </c>
      <c r="R72" s="3" t="s">
        <v>31</v>
      </c>
      <c r="S72" s="3" t="s">
        <v>299</v>
      </c>
      <c r="T72" s="1"/>
      <c r="U72" s="3">
        <v>2351</v>
      </c>
      <c r="V72" s="3" t="s">
        <v>300</v>
      </c>
      <c r="W72" s="3">
        <v>0</v>
      </c>
      <c r="X72" s="3">
        <v>10.996705</v>
      </c>
      <c r="Y72" s="3">
        <v>76.9331569</v>
      </c>
      <c r="Z72" s="3">
        <v>9677553379</v>
      </c>
    </row>
    <row r="73" spans="1:26" ht="15" customHeight="1" x14ac:dyDescent="0.25">
      <c r="A73" s="3" t="s">
        <v>301</v>
      </c>
      <c r="B73" s="3">
        <f>COUNTIFS(Sheet1!B:B,'Entities table_CCMS Panel View'!A73)</f>
        <v>0</v>
      </c>
      <c r="C73" s="3" t="s">
        <v>26</v>
      </c>
      <c r="D73" s="3" t="s">
        <v>27</v>
      </c>
      <c r="E73" s="3" t="s">
        <v>302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 t="s">
        <v>145</v>
      </c>
      <c r="P73" s="3" t="s">
        <v>29</v>
      </c>
      <c r="Q73" s="3" t="s">
        <v>30</v>
      </c>
      <c r="R73" s="3" t="s">
        <v>31</v>
      </c>
      <c r="S73" s="3" t="s">
        <v>303</v>
      </c>
      <c r="T73" s="3">
        <v>5755183072926</v>
      </c>
      <c r="U73" s="3">
        <v>442</v>
      </c>
      <c r="V73" s="3" t="s">
        <v>304</v>
      </c>
      <c r="W73" s="3">
        <v>0</v>
      </c>
      <c r="X73" s="3">
        <v>10.986097300000001</v>
      </c>
      <c r="Y73" s="3">
        <v>76.924390099999997</v>
      </c>
      <c r="Z73" s="3">
        <v>8667729030</v>
      </c>
    </row>
    <row r="74" spans="1:26" ht="15" customHeight="1" x14ac:dyDescent="0.25">
      <c r="A74" s="3" t="s">
        <v>305</v>
      </c>
      <c r="B74" s="3">
        <f>COUNTIFS(Sheet1!B:B,'Entities table_CCMS Panel View'!A74)</f>
        <v>0</v>
      </c>
      <c r="C74" s="3" t="s">
        <v>84</v>
      </c>
      <c r="D74" s="3" t="s">
        <v>102</v>
      </c>
      <c r="E74" s="3" t="s">
        <v>306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1"/>
      <c r="P74" s="3" t="s">
        <v>29</v>
      </c>
      <c r="Q74" s="3" t="s">
        <v>30</v>
      </c>
      <c r="R74" s="3" t="s">
        <v>42</v>
      </c>
      <c r="S74" s="3" t="s">
        <v>307</v>
      </c>
      <c r="T74" s="3">
        <v>5755183070383</v>
      </c>
      <c r="U74" s="3">
        <v>508</v>
      </c>
      <c r="V74" s="3" t="s">
        <v>308</v>
      </c>
      <c r="W74" s="3">
        <v>0</v>
      </c>
      <c r="X74" s="3">
        <v>10.9866384</v>
      </c>
      <c r="Y74" s="3">
        <v>76.963062899999997</v>
      </c>
      <c r="Z74" s="3">
        <v>9677553379</v>
      </c>
    </row>
    <row r="75" spans="1:26" ht="15" hidden="1" customHeight="1" x14ac:dyDescent="0.25">
      <c r="A75" s="3" t="s">
        <v>309</v>
      </c>
      <c r="B75" s="3">
        <f>COUNTIFS(Sheet1!B:B,'Entities table_CCMS Panel View'!A75)</f>
        <v>1</v>
      </c>
      <c r="C75" s="3" t="s">
        <v>26</v>
      </c>
      <c r="D75" s="3" t="s">
        <v>27</v>
      </c>
      <c r="E75" s="3" t="s">
        <v>310</v>
      </c>
      <c r="F75" s="3">
        <v>229.73</v>
      </c>
      <c r="G75" s="3">
        <v>0</v>
      </c>
      <c r="H75" s="3">
        <v>0</v>
      </c>
      <c r="I75" s="3">
        <v>0.05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1"/>
      <c r="P75" s="3" t="s">
        <v>29</v>
      </c>
      <c r="Q75" s="3" t="s">
        <v>30</v>
      </c>
      <c r="R75" s="3" t="s">
        <v>42</v>
      </c>
      <c r="S75" s="3" t="s">
        <v>311</v>
      </c>
      <c r="T75" s="3">
        <v>5755183073438</v>
      </c>
      <c r="U75" s="3">
        <v>1403</v>
      </c>
      <c r="V75" s="3" t="s">
        <v>312</v>
      </c>
      <c r="W75" s="3">
        <v>0.05</v>
      </c>
      <c r="X75" s="3">
        <v>10.9891972</v>
      </c>
      <c r="Y75" s="3">
        <v>76.967366499999997</v>
      </c>
      <c r="Z75" s="3">
        <v>9677553379</v>
      </c>
    </row>
    <row r="76" spans="1:26" ht="15" customHeight="1" x14ac:dyDescent="0.25">
      <c r="A76" s="3" t="s">
        <v>313</v>
      </c>
      <c r="B76" s="3">
        <f>COUNTIFS(Sheet1!B:B,'Entities table_CCMS Panel View'!A76)</f>
        <v>0</v>
      </c>
      <c r="C76" s="3" t="s">
        <v>26</v>
      </c>
      <c r="D76" s="3" t="s">
        <v>27</v>
      </c>
      <c r="E76" s="3" t="s">
        <v>107</v>
      </c>
      <c r="F76" s="3">
        <v>218.88</v>
      </c>
      <c r="G76" s="3">
        <v>0</v>
      </c>
      <c r="H76" s="3">
        <v>0</v>
      </c>
      <c r="I76" s="3">
        <v>0.06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1"/>
      <c r="P76" s="3" t="s">
        <v>29</v>
      </c>
      <c r="Q76" s="3" t="s">
        <v>30</v>
      </c>
      <c r="R76" s="3" t="s">
        <v>37</v>
      </c>
      <c r="S76" s="3" t="s">
        <v>314</v>
      </c>
      <c r="T76" s="3">
        <v>5755183200649</v>
      </c>
      <c r="U76" s="3">
        <v>98</v>
      </c>
      <c r="V76" s="3" t="s">
        <v>315</v>
      </c>
      <c r="W76" s="3">
        <v>0.06</v>
      </c>
      <c r="X76" s="3">
        <v>10.988415399999999</v>
      </c>
      <c r="Y76" s="3">
        <v>76.939312200000003</v>
      </c>
      <c r="Z76" s="3">
        <v>9677553379</v>
      </c>
    </row>
    <row r="77" spans="1:26" ht="15" hidden="1" customHeight="1" x14ac:dyDescent="0.25">
      <c r="A77" s="3" t="s">
        <v>316</v>
      </c>
      <c r="B77" s="3">
        <f>COUNTIFS(Sheet1!B:B,'Entities table_CCMS Panel View'!A77)</f>
        <v>1</v>
      </c>
      <c r="C77" s="3" t="s">
        <v>26</v>
      </c>
      <c r="D77" s="3" t="s">
        <v>27</v>
      </c>
      <c r="E77" s="3" t="s">
        <v>72</v>
      </c>
      <c r="F77" s="3">
        <v>210.07</v>
      </c>
      <c r="G77" s="3">
        <v>0</v>
      </c>
      <c r="H77" s="3">
        <v>0</v>
      </c>
      <c r="I77" s="3">
        <v>0.05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1"/>
      <c r="P77" s="3" t="s">
        <v>29</v>
      </c>
      <c r="Q77" s="3" t="s">
        <v>30</v>
      </c>
      <c r="R77" s="3" t="s">
        <v>37</v>
      </c>
      <c r="S77" s="3" t="s">
        <v>317</v>
      </c>
      <c r="T77" s="3">
        <v>5755183068715</v>
      </c>
      <c r="U77" s="3">
        <v>692</v>
      </c>
      <c r="V77" s="3" t="s">
        <v>318</v>
      </c>
      <c r="W77" s="3">
        <v>0.05</v>
      </c>
      <c r="X77" s="3">
        <v>10.9889537</v>
      </c>
      <c r="Y77" s="3">
        <v>76.9359149</v>
      </c>
      <c r="Z77" s="3">
        <v>8667729030</v>
      </c>
    </row>
    <row r="78" spans="1:26" ht="15" hidden="1" customHeight="1" x14ac:dyDescent="0.25">
      <c r="A78" s="3" t="s">
        <v>319</v>
      </c>
      <c r="B78" s="3">
        <f>COUNTIFS(Sheet1!B:B,'Entities table_CCMS Panel View'!A78)</f>
        <v>1</v>
      </c>
      <c r="C78" s="3" t="s">
        <v>26</v>
      </c>
      <c r="D78" s="3" t="s">
        <v>27</v>
      </c>
      <c r="E78" s="3" t="s">
        <v>320</v>
      </c>
      <c r="F78" s="3">
        <v>225.11</v>
      </c>
      <c r="G78" s="3">
        <v>0</v>
      </c>
      <c r="H78" s="3">
        <v>0</v>
      </c>
      <c r="I78" s="3">
        <v>0.06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1"/>
      <c r="P78" s="3" t="s">
        <v>29</v>
      </c>
      <c r="Q78" s="3" t="s">
        <v>30</v>
      </c>
      <c r="R78" s="3" t="s">
        <v>31</v>
      </c>
      <c r="S78" s="3" t="s">
        <v>321</v>
      </c>
      <c r="T78" s="3">
        <v>5755183051495</v>
      </c>
      <c r="U78" s="3">
        <v>677</v>
      </c>
      <c r="V78" s="3" t="s">
        <v>322</v>
      </c>
      <c r="W78" s="3">
        <v>0.06</v>
      </c>
      <c r="X78" s="3">
        <v>10.982570000000001</v>
      </c>
      <c r="Y78" s="3">
        <v>76.926907299999996</v>
      </c>
      <c r="Z78" s="3">
        <v>8667729030</v>
      </c>
    </row>
    <row r="79" spans="1:26" ht="15" hidden="1" customHeight="1" x14ac:dyDescent="0.25">
      <c r="A79" s="3" t="s">
        <v>323</v>
      </c>
      <c r="B79" s="3">
        <f>COUNTIFS(Sheet1!B:B,'Entities table_CCMS Panel View'!A79)</f>
        <v>1</v>
      </c>
      <c r="C79" s="3" t="s">
        <v>26</v>
      </c>
      <c r="D79" s="3" t="s">
        <v>27</v>
      </c>
      <c r="E79" s="3" t="s">
        <v>324</v>
      </c>
      <c r="F79" s="3">
        <v>220.15</v>
      </c>
      <c r="G79" s="3">
        <v>0</v>
      </c>
      <c r="H79" s="3">
        <v>0</v>
      </c>
      <c r="I79" s="3">
        <v>0.05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1"/>
      <c r="P79" s="3" t="s">
        <v>29</v>
      </c>
      <c r="Q79" s="3" t="s">
        <v>30</v>
      </c>
      <c r="R79" s="3" t="s">
        <v>60</v>
      </c>
      <c r="S79" s="3" t="s">
        <v>325</v>
      </c>
      <c r="T79" s="3">
        <v>5755183073078</v>
      </c>
      <c r="U79" s="3">
        <v>425</v>
      </c>
      <c r="V79" s="3" t="s">
        <v>326</v>
      </c>
      <c r="W79" s="3">
        <v>0.04</v>
      </c>
      <c r="X79" s="3">
        <v>10.994210000000001</v>
      </c>
      <c r="Y79" s="3">
        <v>76.94068</v>
      </c>
      <c r="Z79" s="3">
        <v>9677553379</v>
      </c>
    </row>
    <row r="80" spans="1:26" ht="15" hidden="1" customHeight="1" x14ac:dyDescent="0.25">
      <c r="A80" s="3" t="s">
        <v>327</v>
      </c>
      <c r="B80" s="3">
        <f>COUNTIFS(Sheet1!B:B,'Entities table_CCMS Panel View'!A80)</f>
        <v>1</v>
      </c>
      <c r="C80" s="3" t="s">
        <v>26</v>
      </c>
      <c r="D80" s="3" t="s">
        <v>27</v>
      </c>
      <c r="E80" s="3" t="s">
        <v>328</v>
      </c>
      <c r="F80" s="3">
        <v>231.35</v>
      </c>
      <c r="G80" s="3">
        <v>0</v>
      </c>
      <c r="H80" s="3">
        <v>0</v>
      </c>
      <c r="I80" s="3">
        <v>0.05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1"/>
      <c r="P80" s="3" t="s">
        <v>29</v>
      </c>
      <c r="Q80" s="3" t="s">
        <v>30</v>
      </c>
      <c r="R80" s="3" t="s">
        <v>42</v>
      </c>
      <c r="S80" s="3" t="s">
        <v>329</v>
      </c>
      <c r="T80" s="3">
        <v>5755183072306</v>
      </c>
      <c r="U80" s="3">
        <v>3182</v>
      </c>
      <c r="V80" s="3" t="s">
        <v>330</v>
      </c>
      <c r="W80" s="3">
        <v>0.05</v>
      </c>
      <c r="X80" s="3">
        <v>10.982162900000001</v>
      </c>
      <c r="Y80" s="3">
        <v>76.9668767</v>
      </c>
      <c r="Z80" s="3">
        <v>9677553379</v>
      </c>
    </row>
    <row r="81" spans="1:26" ht="15" customHeight="1" x14ac:dyDescent="0.25">
      <c r="A81" s="3" t="s">
        <v>331</v>
      </c>
      <c r="B81" s="3">
        <f>COUNTIFS(Sheet1!B:B,'Entities table_CCMS Panel View'!A81)</f>
        <v>0</v>
      </c>
      <c r="C81" s="3" t="s">
        <v>26</v>
      </c>
      <c r="D81" s="3" t="s">
        <v>27</v>
      </c>
      <c r="E81" s="3" t="s">
        <v>332</v>
      </c>
      <c r="F81" s="3">
        <v>197.17</v>
      </c>
      <c r="G81" s="3">
        <v>0</v>
      </c>
      <c r="H81" s="3">
        <v>0</v>
      </c>
      <c r="I81" s="3">
        <v>0.05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1"/>
      <c r="P81" s="3" t="s">
        <v>29</v>
      </c>
      <c r="Q81" s="3" t="s">
        <v>30</v>
      </c>
      <c r="R81" s="3" t="s">
        <v>31</v>
      </c>
      <c r="S81" s="3" t="s">
        <v>333</v>
      </c>
      <c r="T81" s="3">
        <v>5755183116057</v>
      </c>
      <c r="U81" s="3">
        <v>1935</v>
      </c>
      <c r="V81" s="3" t="s">
        <v>334</v>
      </c>
      <c r="W81" s="3">
        <v>0.05</v>
      </c>
      <c r="X81" s="3">
        <v>10.9910017</v>
      </c>
      <c r="Y81" s="3">
        <v>76.927217900000002</v>
      </c>
      <c r="Z81" s="3">
        <v>9080911740</v>
      </c>
    </row>
    <row r="82" spans="1:26" ht="15" hidden="1" customHeight="1" x14ac:dyDescent="0.25">
      <c r="A82" s="3" t="s">
        <v>335</v>
      </c>
      <c r="B82" s="3">
        <f>COUNTIFS(Sheet1!B:B,'Entities table_CCMS Panel View'!A82)</f>
        <v>1</v>
      </c>
      <c r="C82" s="3" t="s">
        <v>26</v>
      </c>
      <c r="D82" s="3" t="s">
        <v>27</v>
      </c>
      <c r="E82" s="3" t="s">
        <v>336</v>
      </c>
      <c r="F82" s="3">
        <v>216.27</v>
      </c>
      <c r="G82" s="3">
        <v>0</v>
      </c>
      <c r="H82" s="3">
        <v>0</v>
      </c>
      <c r="I82" s="3">
        <v>0.05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1"/>
      <c r="P82" s="3" t="s">
        <v>29</v>
      </c>
      <c r="Q82" s="3" t="s">
        <v>30</v>
      </c>
      <c r="R82" s="3" t="s">
        <v>31</v>
      </c>
      <c r="S82" s="3" t="s">
        <v>337</v>
      </c>
      <c r="T82" s="3">
        <v>5755183072129</v>
      </c>
      <c r="U82" s="3">
        <v>1786</v>
      </c>
      <c r="V82" s="3" t="s">
        <v>338</v>
      </c>
      <c r="W82" s="3">
        <v>0.05</v>
      </c>
      <c r="X82" s="3">
        <v>10.984302400000001</v>
      </c>
      <c r="Y82" s="3">
        <v>76.934237300000007</v>
      </c>
      <c r="Z82" s="3">
        <v>9677553379</v>
      </c>
    </row>
    <row r="83" spans="1:26" ht="15" customHeight="1" x14ac:dyDescent="0.25">
      <c r="A83" s="3" t="s">
        <v>339</v>
      </c>
      <c r="B83" s="3">
        <f>COUNTIFS(Sheet1!B:B,'Entities table_CCMS Panel View'!A83)</f>
        <v>0</v>
      </c>
      <c r="C83" s="3" t="s">
        <v>84</v>
      </c>
      <c r="D83" s="3" t="s">
        <v>102</v>
      </c>
      <c r="E83" s="3" t="s">
        <v>340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1"/>
      <c r="P83" s="3" t="s">
        <v>29</v>
      </c>
      <c r="Q83" s="3" t="s">
        <v>30</v>
      </c>
      <c r="R83" s="3" t="s">
        <v>31</v>
      </c>
      <c r="S83" s="3" t="s">
        <v>81</v>
      </c>
      <c r="T83" s="3">
        <v>5755183072551</v>
      </c>
      <c r="U83" s="3">
        <v>1753</v>
      </c>
      <c r="V83" s="3" t="s">
        <v>341</v>
      </c>
      <c r="W83" s="3">
        <v>0</v>
      </c>
      <c r="X83" s="3">
        <v>10.991897700000001</v>
      </c>
      <c r="Y83" s="3">
        <v>76.931078799999995</v>
      </c>
      <c r="Z83" s="3">
        <v>9080911740</v>
      </c>
    </row>
    <row r="84" spans="1:26" ht="15" customHeight="1" x14ac:dyDescent="0.25">
      <c r="A84" s="3" t="s">
        <v>342</v>
      </c>
      <c r="B84" s="3">
        <f>COUNTIFS(Sheet1!B:B,'Entities table_CCMS Panel View'!A84)</f>
        <v>0</v>
      </c>
      <c r="C84" s="3" t="s">
        <v>26</v>
      </c>
      <c r="D84" s="3" t="s">
        <v>27</v>
      </c>
      <c r="E84" s="3" t="s">
        <v>72</v>
      </c>
      <c r="F84" s="3">
        <v>215.48</v>
      </c>
      <c r="G84" s="3">
        <v>0</v>
      </c>
      <c r="H84" s="3">
        <v>0</v>
      </c>
      <c r="I84" s="3">
        <v>0.06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 t="s">
        <v>48</v>
      </c>
      <c r="P84" s="3" t="s">
        <v>29</v>
      </c>
      <c r="Q84" s="3" t="s">
        <v>30</v>
      </c>
      <c r="R84" s="3" t="s">
        <v>31</v>
      </c>
      <c r="S84" s="3" t="s">
        <v>205</v>
      </c>
      <c r="T84" s="3">
        <v>5755183060214</v>
      </c>
      <c r="U84" s="3">
        <v>189</v>
      </c>
      <c r="V84" s="3" t="s">
        <v>343</v>
      </c>
      <c r="W84" s="3">
        <v>0.06</v>
      </c>
      <c r="X84" s="3">
        <v>10.9991409</v>
      </c>
      <c r="Y84" s="3">
        <v>76.936613600000001</v>
      </c>
      <c r="Z84" s="3">
        <v>9080911740</v>
      </c>
    </row>
    <row r="85" spans="1:26" ht="15" customHeight="1" x14ac:dyDescent="0.25">
      <c r="A85" s="3" t="s">
        <v>344</v>
      </c>
      <c r="B85" s="3">
        <f>COUNTIFS(Sheet1!B:B,'Entities table_CCMS Panel View'!A85)</f>
        <v>0</v>
      </c>
      <c r="C85" s="3" t="s">
        <v>26</v>
      </c>
      <c r="D85" s="3" t="s">
        <v>27</v>
      </c>
      <c r="E85" s="3" t="s">
        <v>345</v>
      </c>
      <c r="F85" s="3">
        <v>220.91</v>
      </c>
      <c r="G85" s="3">
        <v>0</v>
      </c>
      <c r="H85" s="3">
        <v>0</v>
      </c>
      <c r="I85" s="3">
        <v>0.05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1"/>
      <c r="P85" s="3" t="s">
        <v>29</v>
      </c>
      <c r="Q85" s="3" t="s">
        <v>30</v>
      </c>
      <c r="R85" s="3" t="s">
        <v>31</v>
      </c>
      <c r="S85" s="3" t="s">
        <v>346</v>
      </c>
      <c r="T85" s="3">
        <v>5755183072098</v>
      </c>
      <c r="U85" s="3">
        <v>3126</v>
      </c>
      <c r="V85" s="3" t="s">
        <v>347</v>
      </c>
      <c r="W85" s="3">
        <v>0.05</v>
      </c>
      <c r="X85" s="3">
        <v>10.990642599999999</v>
      </c>
      <c r="Y85" s="3">
        <v>76.926099199999996</v>
      </c>
      <c r="Z85" s="3">
        <v>9677553379</v>
      </c>
    </row>
    <row r="86" spans="1:26" ht="15" hidden="1" customHeight="1" x14ac:dyDescent="0.25">
      <c r="A86" s="3" t="s">
        <v>348</v>
      </c>
      <c r="B86" s="3">
        <f>COUNTIFS(Sheet1!B:B,'Entities table_CCMS Panel View'!A86)</f>
        <v>1</v>
      </c>
      <c r="C86" s="3" t="s">
        <v>26</v>
      </c>
      <c r="D86" s="3" t="s">
        <v>27</v>
      </c>
      <c r="E86" s="3" t="s">
        <v>349</v>
      </c>
      <c r="F86" s="3">
        <v>233.69</v>
      </c>
      <c r="G86" s="3">
        <v>0</v>
      </c>
      <c r="H86" s="3">
        <v>0</v>
      </c>
      <c r="I86" s="3">
        <v>7.0000000000000007E-2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1"/>
      <c r="P86" s="3" t="s">
        <v>29</v>
      </c>
      <c r="Q86" s="3" t="s">
        <v>30</v>
      </c>
      <c r="R86" s="3" t="s">
        <v>31</v>
      </c>
      <c r="S86" s="3" t="s">
        <v>350</v>
      </c>
      <c r="T86" s="3">
        <v>5755183072064</v>
      </c>
      <c r="U86" s="3">
        <v>2577</v>
      </c>
      <c r="V86" s="3" t="s">
        <v>351</v>
      </c>
      <c r="W86" s="3">
        <v>7.0000000000000007E-2</v>
      </c>
      <c r="X86" s="3">
        <v>10.992630399999999</v>
      </c>
      <c r="Y86" s="3">
        <v>76.924451700000006</v>
      </c>
      <c r="Z86" s="3">
        <v>9080911740</v>
      </c>
    </row>
    <row r="87" spans="1:26" ht="15" customHeight="1" x14ac:dyDescent="0.25">
      <c r="A87" s="3" t="s">
        <v>352</v>
      </c>
      <c r="B87" s="3">
        <f>COUNTIFS(Sheet1!B:B,'Entities table_CCMS Panel View'!A87)</f>
        <v>0</v>
      </c>
      <c r="C87" s="3" t="s">
        <v>26</v>
      </c>
      <c r="D87" s="3" t="s">
        <v>27</v>
      </c>
      <c r="E87" s="3" t="s">
        <v>72</v>
      </c>
      <c r="F87" s="3">
        <v>217.89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0.01</v>
      </c>
      <c r="M87" s="3">
        <v>0</v>
      </c>
      <c r="N87" s="3">
        <v>0</v>
      </c>
      <c r="O87" s="3" t="s">
        <v>353</v>
      </c>
      <c r="P87" s="3" t="s">
        <v>29</v>
      </c>
      <c r="Q87" s="3" t="s">
        <v>30</v>
      </c>
      <c r="R87" s="3" t="s">
        <v>42</v>
      </c>
      <c r="S87" s="3" t="s">
        <v>354</v>
      </c>
      <c r="T87" s="3">
        <v>9385240314</v>
      </c>
      <c r="U87" s="3">
        <v>4939</v>
      </c>
      <c r="V87" s="3" t="s">
        <v>355</v>
      </c>
      <c r="W87" s="3">
        <v>0</v>
      </c>
      <c r="X87" s="3">
        <v>10.9821115</v>
      </c>
      <c r="Y87" s="3">
        <v>76.966865600000006</v>
      </c>
      <c r="Z87" s="3">
        <v>9677553379</v>
      </c>
    </row>
    <row r="88" spans="1:26" ht="15" customHeight="1" x14ac:dyDescent="0.25">
      <c r="A88" s="3" t="s">
        <v>356</v>
      </c>
      <c r="B88" s="3">
        <f>COUNTIFS(Sheet1!B:B,'Entities table_CCMS Panel View'!A88)</f>
        <v>0</v>
      </c>
      <c r="C88" s="3" t="s">
        <v>26</v>
      </c>
      <c r="D88" s="3" t="s">
        <v>27</v>
      </c>
      <c r="E88" s="3" t="s">
        <v>357</v>
      </c>
      <c r="F88" s="3">
        <v>228.86</v>
      </c>
      <c r="G88" s="3">
        <v>0</v>
      </c>
      <c r="H88" s="3">
        <v>0</v>
      </c>
      <c r="I88" s="3">
        <v>0.06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1"/>
      <c r="P88" s="3" t="s">
        <v>29</v>
      </c>
      <c r="Q88" s="3" t="s">
        <v>30</v>
      </c>
      <c r="R88" s="3" t="s">
        <v>31</v>
      </c>
      <c r="S88" s="3" t="s">
        <v>358</v>
      </c>
      <c r="T88" s="3">
        <v>5755183059843</v>
      </c>
      <c r="U88" s="3">
        <v>1815</v>
      </c>
      <c r="V88" s="3" t="s">
        <v>359</v>
      </c>
      <c r="W88" s="3">
        <v>0.06</v>
      </c>
      <c r="X88" s="3">
        <v>10.997116699999999</v>
      </c>
      <c r="Y88" s="3">
        <v>76.931795500000007</v>
      </c>
      <c r="Z88" s="3">
        <v>9080911740</v>
      </c>
    </row>
    <row r="89" spans="1:26" ht="15" hidden="1" customHeight="1" x14ac:dyDescent="0.25">
      <c r="A89" s="3" t="s">
        <v>360</v>
      </c>
      <c r="B89" s="3">
        <f>COUNTIFS(Sheet1!B:B,'Entities table_CCMS Panel View'!A89)</f>
        <v>1</v>
      </c>
      <c r="C89" s="3" t="s">
        <v>26</v>
      </c>
      <c r="D89" s="3" t="s">
        <v>27</v>
      </c>
      <c r="E89" s="3" t="s">
        <v>80</v>
      </c>
      <c r="F89" s="3">
        <v>213.78</v>
      </c>
      <c r="G89" s="3">
        <v>0</v>
      </c>
      <c r="H89" s="3">
        <v>0</v>
      </c>
      <c r="I89" s="3">
        <v>0.06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1"/>
      <c r="P89" s="3" t="s">
        <v>29</v>
      </c>
      <c r="Q89" s="3" t="s">
        <v>30</v>
      </c>
      <c r="R89" s="3" t="s">
        <v>60</v>
      </c>
      <c r="S89" s="3" t="s">
        <v>361</v>
      </c>
      <c r="T89" s="3">
        <v>5755183072528</v>
      </c>
      <c r="U89" s="3">
        <v>1944</v>
      </c>
      <c r="V89" s="3" t="s">
        <v>362</v>
      </c>
      <c r="W89" s="3">
        <v>0.06</v>
      </c>
      <c r="X89" s="3">
        <v>10.9991226</v>
      </c>
      <c r="Y89" s="3">
        <v>76.944313600000001</v>
      </c>
      <c r="Z89" s="3">
        <v>9677553379</v>
      </c>
    </row>
    <row r="90" spans="1:26" ht="15" hidden="1" customHeight="1" x14ac:dyDescent="0.25">
      <c r="A90" s="3" t="s">
        <v>363</v>
      </c>
      <c r="B90" s="3">
        <f>COUNTIFS(Sheet1!B:B,'Entities table_CCMS Panel View'!A90)</f>
        <v>1</v>
      </c>
      <c r="C90" s="3" t="s">
        <v>26</v>
      </c>
      <c r="D90" s="3" t="s">
        <v>27</v>
      </c>
      <c r="E90" s="3" t="s">
        <v>364</v>
      </c>
      <c r="F90" s="3">
        <v>229.65</v>
      </c>
      <c r="G90" s="3">
        <v>0</v>
      </c>
      <c r="H90" s="3">
        <v>0</v>
      </c>
      <c r="I90" s="3">
        <v>0.05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1"/>
      <c r="P90" s="3" t="s">
        <v>29</v>
      </c>
      <c r="Q90" s="3" t="s">
        <v>30</v>
      </c>
      <c r="R90" s="3" t="s">
        <v>31</v>
      </c>
      <c r="S90" s="3" t="s">
        <v>365</v>
      </c>
      <c r="T90" s="3">
        <v>5755183044794</v>
      </c>
      <c r="U90" s="3">
        <v>1769</v>
      </c>
      <c r="V90" s="3" t="s">
        <v>366</v>
      </c>
      <c r="W90" s="3">
        <v>0.05</v>
      </c>
      <c r="X90" s="3">
        <v>10.9841488</v>
      </c>
      <c r="Y90" s="3">
        <v>76.931084799999994</v>
      </c>
      <c r="Z90" s="3">
        <v>8667729030</v>
      </c>
    </row>
    <row r="91" spans="1:26" ht="15" hidden="1" customHeight="1" x14ac:dyDescent="0.25">
      <c r="A91" s="3" t="s">
        <v>367</v>
      </c>
      <c r="B91" s="3">
        <f>COUNTIFS(Sheet1!B:B,'Entities table_CCMS Panel View'!A91)</f>
        <v>1</v>
      </c>
      <c r="C91" s="3" t="s">
        <v>26</v>
      </c>
      <c r="D91" s="3" t="s">
        <v>27</v>
      </c>
      <c r="E91" s="3" t="s">
        <v>368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 t="s">
        <v>369</v>
      </c>
      <c r="P91" s="3" t="s">
        <v>29</v>
      </c>
      <c r="Q91" s="3" t="s">
        <v>30</v>
      </c>
      <c r="R91" s="3" t="s">
        <v>42</v>
      </c>
      <c r="S91" s="3" t="s">
        <v>370</v>
      </c>
      <c r="T91" s="3">
        <v>5755183035320</v>
      </c>
      <c r="U91" s="1"/>
      <c r="V91" s="3" t="s">
        <v>371</v>
      </c>
      <c r="W91" s="3">
        <v>0</v>
      </c>
      <c r="X91" s="3">
        <v>10.98611</v>
      </c>
      <c r="Y91" s="3">
        <v>76.967005</v>
      </c>
      <c r="Z91" s="1"/>
    </row>
    <row r="92" spans="1:26" ht="15" hidden="1" customHeight="1" x14ac:dyDescent="0.25">
      <c r="A92" s="3" t="s">
        <v>372</v>
      </c>
      <c r="B92" s="3">
        <f>COUNTIFS(Sheet1!B:B,'Entities table_CCMS Panel View'!A92)</f>
        <v>1</v>
      </c>
      <c r="C92" s="3" t="s">
        <v>26</v>
      </c>
      <c r="D92" s="3" t="s">
        <v>27</v>
      </c>
      <c r="E92" s="3" t="s">
        <v>113</v>
      </c>
      <c r="F92" s="3">
        <v>214.99</v>
      </c>
      <c r="G92" s="3">
        <v>0</v>
      </c>
      <c r="H92" s="3">
        <v>0</v>
      </c>
      <c r="I92" s="3">
        <v>0.05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1"/>
      <c r="P92" s="3" t="s">
        <v>29</v>
      </c>
      <c r="Q92" s="3" t="s">
        <v>30</v>
      </c>
      <c r="R92" s="3" t="s">
        <v>60</v>
      </c>
      <c r="S92" s="3" t="s">
        <v>373</v>
      </c>
      <c r="T92" s="3">
        <v>5755183128482</v>
      </c>
      <c r="U92" s="3">
        <v>340</v>
      </c>
      <c r="V92" s="3" t="s">
        <v>374</v>
      </c>
      <c r="W92" s="3">
        <v>0.05</v>
      </c>
      <c r="X92" s="3">
        <v>10.993676000000001</v>
      </c>
      <c r="Y92" s="3">
        <v>76.9403492</v>
      </c>
      <c r="Z92" s="3">
        <v>8667729030</v>
      </c>
    </row>
    <row r="93" spans="1:26" ht="15" hidden="1" customHeight="1" x14ac:dyDescent="0.25">
      <c r="A93" s="3" t="s">
        <v>375</v>
      </c>
      <c r="B93" s="3">
        <f>COUNTIFS(Sheet1!B:B,'Entities table_CCMS Panel View'!A93)</f>
        <v>1</v>
      </c>
      <c r="C93" s="3" t="s">
        <v>26</v>
      </c>
      <c r="D93" s="3" t="s">
        <v>27</v>
      </c>
      <c r="E93" s="3" t="s">
        <v>310</v>
      </c>
      <c r="F93" s="3">
        <v>230.27</v>
      </c>
      <c r="G93" s="3">
        <v>0</v>
      </c>
      <c r="H93" s="3">
        <v>0</v>
      </c>
      <c r="I93" s="3">
        <v>0.04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1"/>
      <c r="P93" s="3" t="s">
        <v>29</v>
      </c>
      <c r="Q93" s="3" t="s">
        <v>30</v>
      </c>
      <c r="R93" s="3" t="s">
        <v>42</v>
      </c>
      <c r="S93" s="3" t="s">
        <v>376</v>
      </c>
      <c r="T93" s="3">
        <v>5755183068752</v>
      </c>
      <c r="U93" s="3">
        <v>1676</v>
      </c>
      <c r="V93" s="3" t="s">
        <v>377</v>
      </c>
      <c r="W93" s="3">
        <v>0.04</v>
      </c>
      <c r="X93" s="3">
        <v>10.983552899999999</v>
      </c>
      <c r="Y93" s="3">
        <v>76.963443999999996</v>
      </c>
      <c r="Z93" s="3">
        <v>9677553379</v>
      </c>
    </row>
    <row r="94" spans="1:26" ht="15" hidden="1" customHeight="1" x14ac:dyDescent="0.25">
      <c r="A94" s="3" t="s">
        <v>378</v>
      </c>
      <c r="B94" s="3">
        <f>COUNTIFS(Sheet1!B:B,'Entities table_CCMS Panel View'!A94)</f>
        <v>1</v>
      </c>
      <c r="C94" s="3" t="s">
        <v>26</v>
      </c>
      <c r="D94" s="3" t="s">
        <v>27</v>
      </c>
      <c r="E94" s="3" t="s">
        <v>128</v>
      </c>
      <c r="F94" s="3">
        <v>224.17</v>
      </c>
      <c r="G94" s="3">
        <v>0</v>
      </c>
      <c r="H94" s="3">
        <v>0</v>
      </c>
      <c r="I94" s="3">
        <v>0.05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1"/>
      <c r="P94" s="3" t="s">
        <v>29</v>
      </c>
      <c r="Q94" s="3" t="s">
        <v>30</v>
      </c>
      <c r="R94" s="3" t="s">
        <v>31</v>
      </c>
      <c r="S94" s="3" t="s">
        <v>379</v>
      </c>
      <c r="T94" s="3">
        <v>5755183073440</v>
      </c>
      <c r="U94" s="3">
        <v>1936</v>
      </c>
      <c r="V94" s="3" t="s">
        <v>380</v>
      </c>
      <c r="W94" s="3">
        <v>0.05</v>
      </c>
      <c r="X94" s="3">
        <v>10.988387700000001</v>
      </c>
      <c r="Y94" s="3">
        <v>76.940719799999997</v>
      </c>
      <c r="Z94" s="3">
        <v>9677553379</v>
      </c>
    </row>
    <row r="95" spans="1:26" ht="15" hidden="1" customHeight="1" x14ac:dyDescent="0.25">
      <c r="A95" s="3" t="s">
        <v>381</v>
      </c>
      <c r="B95" s="3">
        <f>COUNTIFS(Sheet1!B:B,'Entities table_CCMS Panel View'!A95)</f>
        <v>1</v>
      </c>
      <c r="C95" s="3" t="s">
        <v>26</v>
      </c>
      <c r="D95" s="3" t="s">
        <v>27</v>
      </c>
      <c r="E95" s="3" t="s">
        <v>382</v>
      </c>
      <c r="F95" s="3">
        <v>210.18</v>
      </c>
      <c r="G95" s="3">
        <v>0</v>
      </c>
      <c r="H95" s="3">
        <v>0</v>
      </c>
      <c r="I95" s="3">
        <v>0.04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1"/>
      <c r="P95" s="3" t="s">
        <v>29</v>
      </c>
      <c r="Q95" s="3" t="s">
        <v>30</v>
      </c>
      <c r="R95" s="3" t="s">
        <v>42</v>
      </c>
      <c r="S95" s="3" t="s">
        <v>383</v>
      </c>
      <c r="T95" s="3">
        <v>5755183068459</v>
      </c>
      <c r="U95" s="3">
        <v>262</v>
      </c>
      <c r="V95" s="3" t="s">
        <v>384</v>
      </c>
      <c r="W95" s="3">
        <v>0.04</v>
      </c>
      <c r="X95" s="3">
        <v>10.9779889</v>
      </c>
      <c r="Y95" s="3">
        <v>76.958706500000005</v>
      </c>
      <c r="Z95" s="3">
        <v>9080911740</v>
      </c>
    </row>
    <row r="96" spans="1:26" ht="15" hidden="1" customHeight="1" x14ac:dyDescent="0.25">
      <c r="A96" s="3" t="s">
        <v>385</v>
      </c>
      <c r="B96" s="3">
        <f>COUNTIFS(Sheet1!B:B,'Entities table_CCMS Panel View'!A96)</f>
        <v>1</v>
      </c>
      <c r="C96" s="3" t="s">
        <v>26</v>
      </c>
      <c r="D96" s="3" t="s">
        <v>27</v>
      </c>
      <c r="E96" s="3" t="s">
        <v>123</v>
      </c>
      <c r="F96" s="3">
        <v>212.49</v>
      </c>
      <c r="G96" s="3">
        <v>0</v>
      </c>
      <c r="H96" s="3">
        <v>0</v>
      </c>
      <c r="I96" s="3">
        <v>0.05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 t="s">
        <v>48</v>
      </c>
      <c r="P96" s="3" t="s">
        <v>29</v>
      </c>
      <c r="Q96" s="3" t="s">
        <v>30</v>
      </c>
      <c r="R96" s="3" t="s">
        <v>60</v>
      </c>
      <c r="S96" s="3" t="s">
        <v>386</v>
      </c>
      <c r="T96" s="3">
        <v>5755183072290</v>
      </c>
      <c r="U96" s="3">
        <v>695</v>
      </c>
      <c r="V96" s="3" t="s">
        <v>387</v>
      </c>
      <c r="W96" s="3">
        <v>0.05</v>
      </c>
      <c r="X96" s="3">
        <v>10.991412499999999</v>
      </c>
      <c r="Y96" s="3">
        <v>76.941075499999997</v>
      </c>
      <c r="Z96" s="3">
        <v>9677553379</v>
      </c>
    </row>
    <row r="97" spans="1:26" ht="15" hidden="1" customHeight="1" x14ac:dyDescent="0.25">
      <c r="A97" s="3" t="s">
        <v>388</v>
      </c>
      <c r="B97" s="3">
        <f>COUNTIFS(Sheet1!B:B,'Entities table_CCMS Panel View'!A97)</f>
        <v>1</v>
      </c>
      <c r="C97" s="3" t="s">
        <v>26</v>
      </c>
      <c r="D97" s="3" t="s">
        <v>27</v>
      </c>
      <c r="E97" s="3" t="s">
        <v>72</v>
      </c>
      <c r="F97" s="3">
        <v>218.05</v>
      </c>
      <c r="G97" s="3">
        <v>0</v>
      </c>
      <c r="H97" s="3">
        <v>0</v>
      </c>
      <c r="I97" s="3">
        <v>0.05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1"/>
      <c r="P97" s="3" t="s">
        <v>29</v>
      </c>
      <c r="Q97" s="3" t="s">
        <v>30</v>
      </c>
      <c r="R97" s="3" t="s">
        <v>37</v>
      </c>
      <c r="S97" s="3" t="s">
        <v>389</v>
      </c>
      <c r="T97" s="3">
        <v>5755183073436</v>
      </c>
      <c r="U97" s="3">
        <v>690</v>
      </c>
      <c r="V97" s="3" t="s">
        <v>390</v>
      </c>
      <c r="W97" s="3">
        <v>0.06</v>
      </c>
      <c r="X97" s="3">
        <v>10.9882829</v>
      </c>
      <c r="Y97" s="3">
        <v>76.943802599999998</v>
      </c>
      <c r="Z97" s="3">
        <v>9677553379</v>
      </c>
    </row>
    <row r="98" spans="1:26" ht="15" hidden="1" customHeight="1" x14ac:dyDescent="0.25">
      <c r="A98" s="3" t="s">
        <v>391</v>
      </c>
      <c r="B98" s="3">
        <f>COUNTIFS(Sheet1!B:B,'Entities table_CCMS Panel View'!A98)</f>
        <v>1</v>
      </c>
      <c r="C98" s="3" t="s">
        <v>26</v>
      </c>
      <c r="D98" s="3" t="s">
        <v>27</v>
      </c>
      <c r="E98" s="3" t="s">
        <v>113</v>
      </c>
      <c r="F98" s="3">
        <v>231.81</v>
      </c>
      <c r="G98" s="3">
        <v>0</v>
      </c>
      <c r="H98" s="3">
        <v>0</v>
      </c>
      <c r="I98" s="3">
        <v>0.04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1"/>
      <c r="P98" s="3" t="s">
        <v>29</v>
      </c>
      <c r="Q98" s="3" t="s">
        <v>30</v>
      </c>
      <c r="R98" s="3" t="s">
        <v>42</v>
      </c>
      <c r="S98" s="3" t="s">
        <v>392</v>
      </c>
      <c r="T98" s="3">
        <v>5755183070282</v>
      </c>
      <c r="U98" s="3">
        <v>882</v>
      </c>
      <c r="V98" s="3" t="s">
        <v>393</v>
      </c>
      <c r="W98" s="3">
        <v>0.04</v>
      </c>
      <c r="X98" s="3">
        <v>10.9857101</v>
      </c>
      <c r="Y98" s="3">
        <v>76.963313499999998</v>
      </c>
      <c r="Z98" s="3">
        <v>9080911740</v>
      </c>
    </row>
    <row r="99" spans="1:26" ht="15" hidden="1" customHeight="1" x14ac:dyDescent="0.25">
      <c r="A99" s="3" t="s">
        <v>394</v>
      </c>
      <c r="B99" s="3">
        <f>COUNTIFS(Sheet1!B:B,'Entities table_CCMS Panel View'!A99)</f>
        <v>1</v>
      </c>
      <c r="C99" s="3" t="s">
        <v>26</v>
      </c>
      <c r="D99" s="3" t="s">
        <v>27</v>
      </c>
      <c r="E99" s="3" t="s">
        <v>357</v>
      </c>
      <c r="F99" s="3">
        <v>217.12</v>
      </c>
      <c r="G99" s="3">
        <v>0</v>
      </c>
      <c r="H99" s="3">
        <v>0</v>
      </c>
      <c r="I99" s="3">
        <v>0.06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1"/>
      <c r="P99" s="3" t="s">
        <v>29</v>
      </c>
      <c r="Q99" s="3" t="s">
        <v>30</v>
      </c>
      <c r="R99" s="3" t="s">
        <v>31</v>
      </c>
      <c r="S99" s="3" t="s">
        <v>395</v>
      </c>
      <c r="T99" s="3">
        <v>5755183044795</v>
      </c>
      <c r="U99" s="3">
        <v>212</v>
      </c>
      <c r="V99" s="3" t="s">
        <v>396</v>
      </c>
      <c r="W99" s="3">
        <v>0.06</v>
      </c>
      <c r="X99" s="3">
        <v>10.984982</v>
      </c>
      <c r="Y99" s="3">
        <v>76.933120400000007</v>
      </c>
      <c r="Z99" s="3">
        <v>8667729030</v>
      </c>
    </row>
    <row r="100" spans="1:26" ht="15" hidden="1" customHeight="1" x14ac:dyDescent="0.25">
      <c r="A100" s="3" t="s">
        <v>397</v>
      </c>
      <c r="B100" s="3">
        <f>COUNTIFS(Sheet1!B:B,'Entities table_CCMS Panel View'!A100)</f>
        <v>1</v>
      </c>
      <c r="C100" s="3" t="s">
        <v>26</v>
      </c>
      <c r="D100" s="3" t="s">
        <v>27</v>
      </c>
      <c r="E100" s="3" t="s">
        <v>123</v>
      </c>
      <c r="F100" s="3">
        <v>222.14</v>
      </c>
      <c r="G100" s="3">
        <v>0</v>
      </c>
      <c r="H100" s="3">
        <v>0</v>
      </c>
      <c r="I100" s="3">
        <v>0.04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1"/>
      <c r="P100" s="3" t="s">
        <v>29</v>
      </c>
      <c r="Q100" s="3" t="s">
        <v>30</v>
      </c>
      <c r="R100" s="3" t="s">
        <v>31</v>
      </c>
      <c r="S100" s="3" t="s">
        <v>398</v>
      </c>
      <c r="T100" s="3">
        <v>5755183060577</v>
      </c>
      <c r="U100" s="3">
        <v>2008</v>
      </c>
      <c r="V100" s="3" t="s">
        <v>399</v>
      </c>
      <c r="W100" s="3">
        <v>0.04</v>
      </c>
      <c r="X100" s="3">
        <v>10.997125</v>
      </c>
      <c r="Y100" s="3">
        <v>76.934844799999993</v>
      </c>
      <c r="Z100" s="3">
        <v>9080911740</v>
      </c>
    </row>
    <row r="101" spans="1:26" ht="15" customHeight="1" x14ac:dyDescent="0.25">
      <c r="A101" s="3" t="s">
        <v>400</v>
      </c>
      <c r="B101" s="3">
        <f>COUNTIFS(Sheet1!B:B,'Entities table_CCMS Panel View'!A101)</f>
        <v>0</v>
      </c>
      <c r="C101" s="3" t="s">
        <v>26</v>
      </c>
      <c r="D101" s="3" t="s">
        <v>27</v>
      </c>
      <c r="E101" s="3" t="s">
        <v>113</v>
      </c>
      <c r="F101" s="3">
        <v>225.47</v>
      </c>
      <c r="G101" s="3">
        <v>0</v>
      </c>
      <c r="H101" s="3">
        <v>0</v>
      </c>
      <c r="I101" s="3">
        <v>0.06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1"/>
      <c r="P101" s="3" t="s">
        <v>29</v>
      </c>
      <c r="Q101" s="3" t="s">
        <v>30</v>
      </c>
      <c r="R101" s="3" t="s">
        <v>60</v>
      </c>
      <c r="S101" s="3" t="s">
        <v>401</v>
      </c>
      <c r="T101" s="3">
        <v>5755183203234</v>
      </c>
      <c r="U101" s="3">
        <v>1593</v>
      </c>
      <c r="V101" s="3" t="s">
        <v>402</v>
      </c>
      <c r="W101" s="3">
        <v>0.06</v>
      </c>
      <c r="X101" s="3">
        <v>10.9987438</v>
      </c>
      <c r="Y101" s="3">
        <v>76.944012099999995</v>
      </c>
      <c r="Z101" s="3">
        <v>9677553379</v>
      </c>
    </row>
    <row r="102" spans="1:26" ht="15" hidden="1" customHeight="1" x14ac:dyDescent="0.25">
      <c r="A102" s="3" t="s">
        <v>403</v>
      </c>
      <c r="B102" s="3">
        <f>COUNTIFS(Sheet1!B:B,'Entities table_CCMS Panel View'!A102)</f>
        <v>1</v>
      </c>
      <c r="C102" s="3" t="s">
        <v>26</v>
      </c>
      <c r="D102" s="3" t="s">
        <v>27</v>
      </c>
      <c r="E102" s="3" t="s">
        <v>404</v>
      </c>
      <c r="F102" s="3">
        <v>223.69</v>
      </c>
      <c r="G102" s="3">
        <v>0</v>
      </c>
      <c r="H102" s="3">
        <v>0</v>
      </c>
      <c r="I102" s="3">
        <v>0.05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1"/>
      <c r="P102" s="3" t="s">
        <v>29</v>
      </c>
      <c r="Q102" s="3" t="s">
        <v>30</v>
      </c>
      <c r="R102" s="3" t="s">
        <v>42</v>
      </c>
      <c r="S102" s="3" t="s">
        <v>405</v>
      </c>
      <c r="T102" s="3">
        <v>5755183072648</v>
      </c>
      <c r="U102" s="3">
        <v>1</v>
      </c>
      <c r="V102" s="3" t="s">
        <v>406</v>
      </c>
      <c r="W102" s="3">
        <v>0.05</v>
      </c>
      <c r="X102" s="3">
        <v>10.9814989</v>
      </c>
      <c r="Y102" s="3">
        <v>76.967491999999993</v>
      </c>
      <c r="Z102" s="3">
        <v>9677553379</v>
      </c>
    </row>
    <row r="103" spans="1:26" ht="15" customHeight="1" x14ac:dyDescent="0.25">
      <c r="A103" s="3" t="s">
        <v>407</v>
      </c>
      <c r="B103" s="3">
        <f>COUNTIFS(Sheet1!B:B,'Entities table_CCMS Panel View'!A103)</f>
        <v>0</v>
      </c>
      <c r="C103" s="3" t="s">
        <v>26</v>
      </c>
      <c r="D103" s="3" t="s">
        <v>27</v>
      </c>
      <c r="E103" s="3" t="s">
        <v>80</v>
      </c>
      <c r="F103" s="3">
        <v>214.72</v>
      </c>
      <c r="G103" s="3">
        <v>0</v>
      </c>
      <c r="H103" s="3">
        <v>0</v>
      </c>
      <c r="I103" s="3">
        <v>0.05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1"/>
      <c r="P103" s="3" t="s">
        <v>29</v>
      </c>
      <c r="Q103" s="3" t="s">
        <v>30</v>
      </c>
      <c r="R103" s="3" t="s">
        <v>37</v>
      </c>
      <c r="S103" s="3" t="s">
        <v>408</v>
      </c>
      <c r="T103" s="3">
        <v>5755183072119</v>
      </c>
      <c r="U103" s="3">
        <v>69</v>
      </c>
      <c r="V103" s="3" t="s">
        <v>409</v>
      </c>
      <c r="W103" s="3">
        <v>0.05</v>
      </c>
      <c r="X103" s="3">
        <v>10.989137299999999</v>
      </c>
      <c r="Y103" s="3">
        <v>76.940449799999996</v>
      </c>
      <c r="Z103" s="3">
        <v>9677553379</v>
      </c>
    </row>
    <row r="104" spans="1:26" ht="15" hidden="1" customHeight="1" x14ac:dyDescent="0.25">
      <c r="A104" s="3" t="s">
        <v>410</v>
      </c>
      <c r="B104" s="3">
        <f>COUNTIFS(Sheet1!B:B,'Entities table_CCMS Panel View'!A104)</f>
        <v>1</v>
      </c>
      <c r="C104" s="3" t="s">
        <v>26</v>
      </c>
      <c r="D104" s="3" t="s">
        <v>27</v>
      </c>
      <c r="E104" s="3" t="s">
        <v>64</v>
      </c>
      <c r="F104" s="3">
        <v>210.33</v>
      </c>
      <c r="G104" s="3">
        <v>0</v>
      </c>
      <c r="H104" s="3">
        <v>0</v>
      </c>
      <c r="I104" s="3">
        <v>0.05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1"/>
      <c r="P104" s="3" t="s">
        <v>29</v>
      </c>
      <c r="Q104" s="3" t="s">
        <v>30</v>
      </c>
      <c r="R104" s="3" t="s">
        <v>37</v>
      </c>
      <c r="S104" s="3" t="s">
        <v>411</v>
      </c>
      <c r="T104" s="3">
        <v>5755183073259</v>
      </c>
      <c r="U104" s="3">
        <v>9</v>
      </c>
      <c r="V104" s="3" t="s">
        <v>412</v>
      </c>
      <c r="W104" s="3">
        <v>0.05</v>
      </c>
      <c r="X104" s="3">
        <v>10.987876399999999</v>
      </c>
      <c r="Y104" s="3">
        <v>76.941753399999996</v>
      </c>
      <c r="Z104" s="3">
        <v>9677553379</v>
      </c>
    </row>
    <row r="105" spans="1:26" ht="15" hidden="1" customHeight="1" x14ac:dyDescent="0.25">
      <c r="A105" s="3" t="s">
        <v>413</v>
      </c>
      <c r="B105" s="3">
        <f>COUNTIFS(Sheet1!B:B,'Entities table_CCMS Panel View'!A105)</f>
        <v>1</v>
      </c>
      <c r="C105" s="3" t="s">
        <v>26</v>
      </c>
      <c r="D105" s="3" t="s">
        <v>27</v>
      </c>
      <c r="E105" s="3" t="s">
        <v>80</v>
      </c>
      <c r="F105" s="3">
        <v>226.72</v>
      </c>
      <c r="G105" s="3">
        <v>0</v>
      </c>
      <c r="H105" s="3">
        <v>0</v>
      </c>
      <c r="I105" s="3">
        <v>0.06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1"/>
      <c r="P105" s="3" t="s">
        <v>29</v>
      </c>
      <c r="Q105" s="3" t="s">
        <v>30</v>
      </c>
      <c r="R105" s="3" t="s">
        <v>60</v>
      </c>
      <c r="S105" s="3" t="s">
        <v>414</v>
      </c>
      <c r="T105" s="3">
        <v>5755183013640</v>
      </c>
      <c r="U105" s="3">
        <v>1881</v>
      </c>
      <c r="V105" s="3" t="s">
        <v>415</v>
      </c>
      <c r="W105" s="3">
        <v>0.06</v>
      </c>
      <c r="X105" s="3">
        <v>11.0004937</v>
      </c>
      <c r="Y105" s="3">
        <v>76.942367500000003</v>
      </c>
      <c r="Z105" s="3">
        <v>9677553379</v>
      </c>
    </row>
    <row r="106" spans="1:26" ht="15" hidden="1" customHeight="1" x14ac:dyDescent="0.25">
      <c r="A106" s="3" t="s">
        <v>416</v>
      </c>
      <c r="B106" s="3">
        <f>COUNTIFS(Sheet1!B:B,'Entities table_CCMS Panel View'!A106)</f>
        <v>1</v>
      </c>
      <c r="C106" s="3" t="s">
        <v>26</v>
      </c>
      <c r="D106" s="3" t="s">
        <v>27</v>
      </c>
      <c r="E106" s="3" t="s">
        <v>72</v>
      </c>
      <c r="F106" s="3">
        <v>228</v>
      </c>
      <c r="G106" s="3">
        <v>0</v>
      </c>
      <c r="H106" s="3">
        <v>0</v>
      </c>
      <c r="I106" s="3">
        <v>0.05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1"/>
      <c r="P106" s="3" t="s">
        <v>29</v>
      </c>
      <c r="Q106" s="3" t="s">
        <v>30</v>
      </c>
      <c r="R106" s="3" t="s">
        <v>60</v>
      </c>
      <c r="S106" s="3" t="s">
        <v>417</v>
      </c>
      <c r="T106" s="3">
        <v>5755183073110</v>
      </c>
      <c r="U106" s="3">
        <v>951</v>
      </c>
      <c r="V106" s="3" t="s">
        <v>418</v>
      </c>
      <c r="W106" s="3">
        <v>0.04</v>
      </c>
      <c r="X106" s="3">
        <v>10.9993543</v>
      </c>
      <c r="Y106" s="3">
        <v>76.945395500000004</v>
      </c>
      <c r="Z106" s="3">
        <v>9677553379</v>
      </c>
    </row>
    <row r="107" spans="1:26" ht="15" hidden="1" customHeight="1" x14ac:dyDescent="0.25">
      <c r="A107" s="3" t="s">
        <v>419</v>
      </c>
      <c r="B107" s="3">
        <f>COUNTIFS(Sheet1!B:B,'Entities table_CCMS Panel View'!A107)</f>
        <v>1</v>
      </c>
      <c r="C107" s="3" t="s">
        <v>26</v>
      </c>
      <c r="D107" s="3" t="s">
        <v>27</v>
      </c>
      <c r="E107" s="3" t="s">
        <v>420</v>
      </c>
      <c r="F107" s="3">
        <v>218.9</v>
      </c>
      <c r="G107" s="3">
        <v>0</v>
      </c>
      <c r="H107" s="3">
        <v>0</v>
      </c>
      <c r="I107" s="3">
        <v>7.0000000000000007E-2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 t="s">
        <v>48</v>
      </c>
      <c r="P107" s="3" t="s">
        <v>29</v>
      </c>
      <c r="Q107" s="3" t="s">
        <v>30</v>
      </c>
      <c r="R107" s="3" t="s">
        <v>31</v>
      </c>
      <c r="S107" s="3" t="s">
        <v>421</v>
      </c>
      <c r="T107" s="3">
        <v>5755183072470</v>
      </c>
      <c r="U107" s="3">
        <v>989</v>
      </c>
      <c r="V107" s="3" t="s">
        <v>422</v>
      </c>
      <c r="W107" s="3">
        <v>7.0000000000000007E-2</v>
      </c>
      <c r="X107" s="3">
        <v>10.982191200000001</v>
      </c>
      <c r="Y107" s="3">
        <v>76.933725199999998</v>
      </c>
      <c r="Z107" s="3">
        <v>8667099217</v>
      </c>
    </row>
    <row r="108" spans="1:26" ht="15" hidden="1" customHeight="1" x14ac:dyDescent="0.25">
      <c r="A108" s="3" t="s">
        <v>423</v>
      </c>
      <c r="B108" s="3">
        <f>COUNTIFS(Sheet1!B:B,'Entities table_CCMS Panel View'!A108)</f>
        <v>1</v>
      </c>
      <c r="C108" s="3" t="s">
        <v>26</v>
      </c>
      <c r="D108" s="3" t="s">
        <v>27</v>
      </c>
      <c r="E108" s="3" t="s">
        <v>80</v>
      </c>
      <c r="F108" s="3">
        <v>216.31</v>
      </c>
      <c r="G108" s="3">
        <v>0</v>
      </c>
      <c r="H108" s="3">
        <v>0</v>
      </c>
      <c r="I108" s="3">
        <v>0.05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1"/>
      <c r="P108" s="3" t="s">
        <v>29</v>
      </c>
      <c r="Q108" s="3" t="s">
        <v>30</v>
      </c>
      <c r="R108" s="3" t="s">
        <v>37</v>
      </c>
      <c r="S108" s="3" t="s">
        <v>424</v>
      </c>
      <c r="T108" s="3">
        <v>5755183012534</v>
      </c>
      <c r="U108" s="3">
        <v>1371</v>
      </c>
      <c r="V108" s="3" t="s">
        <v>425</v>
      </c>
      <c r="W108" s="3">
        <v>0.06</v>
      </c>
      <c r="X108" s="3">
        <v>10.989034</v>
      </c>
      <c r="Y108" s="3">
        <v>76.942530399999995</v>
      </c>
      <c r="Z108" s="3">
        <v>9677553379</v>
      </c>
    </row>
    <row r="109" spans="1:26" ht="15" hidden="1" customHeight="1" x14ac:dyDescent="0.25">
      <c r="A109" s="3" t="s">
        <v>426</v>
      </c>
      <c r="B109" s="3">
        <f>COUNTIFS(Sheet1!B:B,'Entities table_CCMS Panel View'!A109)</f>
        <v>1</v>
      </c>
      <c r="C109" s="3" t="s">
        <v>26</v>
      </c>
      <c r="D109" s="3" t="s">
        <v>27</v>
      </c>
      <c r="E109" s="3" t="s">
        <v>113</v>
      </c>
      <c r="F109" s="3">
        <v>217.09</v>
      </c>
      <c r="G109" s="3">
        <v>0</v>
      </c>
      <c r="H109" s="3">
        <v>0</v>
      </c>
      <c r="I109" s="3">
        <v>0.05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1"/>
      <c r="P109" s="3" t="s">
        <v>29</v>
      </c>
      <c r="Q109" s="3" t="s">
        <v>30</v>
      </c>
      <c r="R109" s="3" t="s">
        <v>42</v>
      </c>
      <c r="S109" s="3" t="s">
        <v>427</v>
      </c>
      <c r="T109" s="3">
        <v>5755183012644</v>
      </c>
      <c r="U109" s="3">
        <v>1921</v>
      </c>
      <c r="V109" s="3" t="s">
        <v>428</v>
      </c>
      <c r="W109" s="3">
        <v>0.05</v>
      </c>
      <c r="X109" s="3">
        <v>10.983749</v>
      </c>
      <c r="Y109" s="3">
        <v>76.962895000000003</v>
      </c>
      <c r="Z109" s="3">
        <v>9677553379</v>
      </c>
    </row>
    <row r="110" spans="1:26" ht="15" hidden="1" customHeight="1" x14ac:dyDescent="0.25">
      <c r="A110" s="3" t="s">
        <v>429</v>
      </c>
      <c r="B110" s="3">
        <f>COUNTIFS(Sheet1!B:B,'Entities table_CCMS Panel View'!A110)</f>
        <v>1</v>
      </c>
      <c r="C110" s="3" t="s">
        <v>26</v>
      </c>
      <c r="D110" s="3" t="s">
        <v>27</v>
      </c>
      <c r="E110" s="3" t="s">
        <v>107</v>
      </c>
      <c r="F110" s="3">
        <v>220.05</v>
      </c>
      <c r="G110" s="3">
        <v>0</v>
      </c>
      <c r="H110" s="3">
        <v>0</v>
      </c>
      <c r="I110" s="3">
        <v>0.06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1"/>
      <c r="P110" s="3" t="s">
        <v>29</v>
      </c>
      <c r="Q110" s="3" t="s">
        <v>30</v>
      </c>
      <c r="R110" s="3" t="s">
        <v>108</v>
      </c>
      <c r="S110" s="3" t="s">
        <v>430</v>
      </c>
      <c r="T110" s="3">
        <v>5755183058106</v>
      </c>
      <c r="U110" s="3">
        <v>362</v>
      </c>
      <c r="V110" s="3" t="s">
        <v>431</v>
      </c>
      <c r="W110" s="3">
        <v>0.06</v>
      </c>
      <c r="X110" s="3">
        <v>10.9880762</v>
      </c>
      <c r="Y110" s="3">
        <v>76.941545899999994</v>
      </c>
      <c r="Z110" s="3">
        <v>9677553379</v>
      </c>
    </row>
    <row r="111" spans="1:26" ht="15" customHeight="1" x14ac:dyDescent="0.25">
      <c r="A111" s="3" t="s">
        <v>432</v>
      </c>
      <c r="B111" s="3">
        <f>COUNTIFS(Sheet1!B:B,'Entities table_CCMS Panel View'!A111)</f>
        <v>0</v>
      </c>
      <c r="C111" s="3" t="s">
        <v>26</v>
      </c>
      <c r="D111" s="3" t="s">
        <v>27</v>
      </c>
      <c r="E111" s="3" t="s">
        <v>113</v>
      </c>
      <c r="F111" s="3">
        <v>218.72</v>
      </c>
      <c r="G111" s="3">
        <v>0</v>
      </c>
      <c r="H111" s="3">
        <v>0</v>
      </c>
      <c r="I111" s="3">
        <v>0.06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1"/>
      <c r="P111" s="3" t="s">
        <v>29</v>
      </c>
      <c r="Q111" s="3" t="s">
        <v>30</v>
      </c>
      <c r="R111" s="3" t="s">
        <v>37</v>
      </c>
      <c r="S111" s="3" t="s">
        <v>433</v>
      </c>
      <c r="T111" s="3">
        <v>5755183068383</v>
      </c>
      <c r="U111" s="3">
        <v>1138</v>
      </c>
      <c r="V111" s="3" t="s">
        <v>434</v>
      </c>
      <c r="W111" s="3">
        <v>0.06</v>
      </c>
      <c r="X111" s="3">
        <v>10.987883399999999</v>
      </c>
      <c r="Y111" s="3">
        <v>76.938324800000004</v>
      </c>
      <c r="Z111" s="3">
        <v>9677553379</v>
      </c>
    </row>
    <row r="112" spans="1:26" ht="15" hidden="1" customHeight="1" x14ac:dyDescent="0.25">
      <c r="A112" s="3" t="s">
        <v>435</v>
      </c>
      <c r="B112" s="3">
        <f>COUNTIFS(Sheet1!B:B,'Entities table_CCMS Panel View'!A112)</f>
        <v>1</v>
      </c>
      <c r="C112" s="3" t="s">
        <v>26</v>
      </c>
      <c r="D112" s="3" t="s">
        <v>27</v>
      </c>
      <c r="E112" s="3" t="s">
        <v>64</v>
      </c>
      <c r="F112" s="3">
        <v>215.1</v>
      </c>
      <c r="G112" s="3">
        <v>0</v>
      </c>
      <c r="H112" s="3">
        <v>0</v>
      </c>
      <c r="I112" s="3">
        <v>0.03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1"/>
      <c r="P112" s="3" t="s">
        <v>29</v>
      </c>
      <c r="Q112" s="3" t="s">
        <v>30</v>
      </c>
      <c r="R112" s="3" t="s">
        <v>37</v>
      </c>
      <c r="S112" s="3" t="s">
        <v>436</v>
      </c>
      <c r="T112" s="3">
        <v>5755183072288</v>
      </c>
      <c r="U112" s="3">
        <v>1520</v>
      </c>
      <c r="V112" s="3" t="s">
        <v>437</v>
      </c>
      <c r="W112" s="3">
        <v>0.03</v>
      </c>
      <c r="X112" s="3">
        <v>10.9936267</v>
      </c>
      <c r="Y112" s="3">
        <v>76.943427799999995</v>
      </c>
      <c r="Z112" s="3">
        <v>9677553379</v>
      </c>
    </row>
    <row r="113" spans="1:26" ht="15" customHeight="1" x14ac:dyDescent="0.25">
      <c r="A113" s="3" t="s">
        <v>438</v>
      </c>
      <c r="B113" s="3">
        <f>COUNTIFS(Sheet1!B:B,'Entities table_CCMS Panel View'!A113)</f>
        <v>0</v>
      </c>
      <c r="C113" s="3" t="s">
        <v>26</v>
      </c>
      <c r="D113" s="3" t="s">
        <v>27</v>
      </c>
      <c r="E113" s="3" t="s">
        <v>113</v>
      </c>
      <c r="F113" s="3">
        <v>199.5</v>
      </c>
      <c r="G113" s="3">
        <v>0</v>
      </c>
      <c r="H113" s="3">
        <v>0</v>
      </c>
      <c r="I113" s="3">
        <v>0.05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1"/>
      <c r="P113" s="3" t="s">
        <v>29</v>
      </c>
      <c r="Q113" s="3" t="s">
        <v>30</v>
      </c>
      <c r="R113" s="3" t="s">
        <v>108</v>
      </c>
      <c r="S113" s="3" t="s">
        <v>439</v>
      </c>
      <c r="T113" s="3">
        <v>5755183073497</v>
      </c>
      <c r="U113" s="3">
        <v>1683</v>
      </c>
      <c r="V113" s="3" t="s">
        <v>440</v>
      </c>
      <c r="W113" s="3">
        <v>0.05</v>
      </c>
      <c r="X113" s="3">
        <v>10.9852328</v>
      </c>
      <c r="Y113" s="3">
        <v>76.935997900000004</v>
      </c>
      <c r="Z113" s="3">
        <v>8667729030</v>
      </c>
    </row>
    <row r="114" spans="1:26" ht="15" hidden="1" customHeight="1" x14ac:dyDescent="0.25">
      <c r="A114" s="3" t="s">
        <v>441</v>
      </c>
      <c r="B114" s="3">
        <f>COUNTIFS(Sheet1!B:B,'Entities table_CCMS Panel View'!A114)</f>
        <v>1</v>
      </c>
      <c r="C114" s="3" t="s">
        <v>26</v>
      </c>
      <c r="D114" s="3" t="s">
        <v>27</v>
      </c>
      <c r="E114" s="3" t="s">
        <v>113</v>
      </c>
      <c r="F114" s="3">
        <v>214.9</v>
      </c>
      <c r="G114" s="3">
        <v>0</v>
      </c>
      <c r="H114" s="3">
        <v>0</v>
      </c>
      <c r="I114" s="3">
        <v>0.05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1"/>
      <c r="P114" s="3" t="s">
        <v>29</v>
      </c>
      <c r="Q114" s="3" t="s">
        <v>30</v>
      </c>
      <c r="R114" s="3" t="s">
        <v>108</v>
      </c>
      <c r="S114" s="3" t="s">
        <v>442</v>
      </c>
      <c r="T114" s="3">
        <v>5755183073095</v>
      </c>
      <c r="U114" s="3">
        <v>689</v>
      </c>
      <c r="V114" s="3" t="s">
        <v>443</v>
      </c>
      <c r="W114" s="3">
        <v>0.05</v>
      </c>
      <c r="X114" s="3">
        <v>10.9849674</v>
      </c>
      <c r="Y114" s="3">
        <v>76.939610599999995</v>
      </c>
      <c r="Z114" s="3">
        <v>8667729030</v>
      </c>
    </row>
    <row r="115" spans="1:26" ht="15" hidden="1" customHeight="1" x14ac:dyDescent="0.25">
      <c r="A115" s="3" t="s">
        <v>444</v>
      </c>
      <c r="B115" s="3">
        <f>COUNTIFS(Sheet1!B:B,'Entities table_CCMS Panel View'!A115)</f>
        <v>1</v>
      </c>
      <c r="C115" s="3" t="s">
        <v>26</v>
      </c>
      <c r="D115" s="3" t="s">
        <v>27</v>
      </c>
      <c r="E115" s="3" t="s">
        <v>80</v>
      </c>
      <c r="F115" s="3">
        <v>228.86</v>
      </c>
      <c r="G115" s="3">
        <v>0</v>
      </c>
      <c r="H115" s="3">
        <v>0</v>
      </c>
      <c r="I115" s="3">
        <v>0.05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 t="s">
        <v>48</v>
      </c>
      <c r="P115" s="3" t="s">
        <v>29</v>
      </c>
      <c r="Q115" s="3" t="s">
        <v>30</v>
      </c>
      <c r="R115" s="3" t="s">
        <v>60</v>
      </c>
      <c r="S115" s="3" t="s">
        <v>445</v>
      </c>
      <c r="T115" s="3">
        <v>5755183236168</v>
      </c>
      <c r="U115" s="3">
        <v>1834</v>
      </c>
      <c r="V115" s="3" t="s">
        <v>446</v>
      </c>
      <c r="W115" s="3">
        <v>0.05</v>
      </c>
      <c r="X115" s="3">
        <v>10.9993949</v>
      </c>
      <c r="Y115" s="3">
        <v>76.939543999999998</v>
      </c>
      <c r="Z115" s="3">
        <v>9677553379</v>
      </c>
    </row>
    <row r="116" spans="1:26" ht="15" hidden="1" customHeight="1" x14ac:dyDescent="0.25">
      <c r="A116" s="3" t="s">
        <v>447</v>
      </c>
      <c r="B116" s="3">
        <f>COUNTIFS(Sheet1!B:B,'Entities table_CCMS Panel View'!A116)</f>
        <v>1</v>
      </c>
      <c r="C116" s="3" t="s">
        <v>26</v>
      </c>
      <c r="D116" s="3" t="s">
        <v>27</v>
      </c>
      <c r="E116" s="3" t="s">
        <v>123</v>
      </c>
      <c r="F116" s="3">
        <v>230.4</v>
      </c>
      <c r="G116" s="3">
        <v>0</v>
      </c>
      <c r="H116" s="3">
        <v>0</v>
      </c>
      <c r="I116" s="3">
        <v>0.05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1"/>
      <c r="P116" s="3" t="s">
        <v>29</v>
      </c>
      <c r="Q116" s="3" t="s">
        <v>30</v>
      </c>
      <c r="R116" s="3" t="s">
        <v>60</v>
      </c>
      <c r="S116" s="3" t="s">
        <v>448</v>
      </c>
      <c r="T116" s="3">
        <v>5755183070649</v>
      </c>
      <c r="U116" s="3">
        <v>1065</v>
      </c>
      <c r="V116" s="3" t="s">
        <v>449</v>
      </c>
      <c r="W116" s="3">
        <v>0.04</v>
      </c>
      <c r="X116" s="3">
        <v>10.998972200000001</v>
      </c>
      <c r="Y116" s="3">
        <v>76.943951499999997</v>
      </c>
      <c r="Z116" s="3">
        <v>9677553379</v>
      </c>
    </row>
    <row r="117" spans="1:26" ht="15" customHeight="1" x14ac:dyDescent="0.25">
      <c r="A117" s="3" t="s">
        <v>450</v>
      </c>
      <c r="B117" s="3">
        <f>COUNTIFS(Sheet1!B:B,'Entities table_CCMS Panel View'!A117)</f>
        <v>0</v>
      </c>
      <c r="C117" s="3" t="s">
        <v>26</v>
      </c>
      <c r="D117" s="3" t="s">
        <v>27</v>
      </c>
      <c r="E117" s="3" t="s">
        <v>451</v>
      </c>
      <c r="F117" s="3">
        <v>232.38</v>
      </c>
      <c r="G117" s="3">
        <v>0</v>
      </c>
      <c r="H117" s="3">
        <v>0</v>
      </c>
      <c r="I117" s="3">
        <v>0.05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1"/>
      <c r="P117" s="3" t="s">
        <v>29</v>
      </c>
      <c r="Q117" s="3" t="s">
        <v>30</v>
      </c>
      <c r="R117" s="3" t="s">
        <v>60</v>
      </c>
      <c r="S117" s="3" t="s">
        <v>452</v>
      </c>
      <c r="T117" s="3">
        <v>5755183013074</v>
      </c>
      <c r="U117" s="3">
        <v>1757</v>
      </c>
      <c r="V117" s="3" t="s">
        <v>453</v>
      </c>
      <c r="W117" s="3">
        <v>0.05</v>
      </c>
      <c r="X117" s="3">
        <v>10.9983872</v>
      </c>
      <c r="Y117" s="3">
        <v>76.9415415</v>
      </c>
      <c r="Z117" s="3">
        <v>9677553379</v>
      </c>
    </row>
    <row r="118" spans="1:26" ht="15" customHeight="1" x14ac:dyDescent="0.25">
      <c r="A118" s="3" t="s">
        <v>454</v>
      </c>
      <c r="B118" s="3">
        <f>COUNTIFS(Sheet1!B:B,'Entities table_CCMS Panel View'!A118)</f>
        <v>0</v>
      </c>
      <c r="C118" s="3" t="s">
        <v>26</v>
      </c>
      <c r="D118" s="3" t="s">
        <v>27</v>
      </c>
      <c r="E118" s="3" t="s">
        <v>336</v>
      </c>
      <c r="F118" s="3">
        <v>220.23</v>
      </c>
      <c r="G118" s="3">
        <v>0</v>
      </c>
      <c r="H118" s="3">
        <v>0</v>
      </c>
      <c r="I118" s="3">
        <v>0.05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1"/>
      <c r="P118" s="3" t="s">
        <v>29</v>
      </c>
      <c r="Q118" s="3" t="s">
        <v>30</v>
      </c>
      <c r="R118" s="3" t="s">
        <v>31</v>
      </c>
      <c r="S118" s="3" t="s">
        <v>455</v>
      </c>
      <c r="T118" s="3">
        <v>5755183073525</v>
      </c>
      <c r="U118" s="3">
        <v>1813</v>
      </c>
      <c r="V118" s="3" t="s">
        <v>456</v>
      </c>
      <c r="W118" s="3">
        <v>0.05</v>
      </c>
      <c r="X118" s="3">
        <v>10.9963622</v>
      </c>
      <c r="Y118" s="3">
        <v>76.927947900000007</v>
      </c>
      <c r="Z118" s="3">
        <v>9080911740</v>
      </c>
    </row>
    <row r="119" spans="1:26" ht="15" customHeight="1" x14ac:dyDescent="0.25">
      <c r="A119" s="3" t="s">
        <v>457</v>
      </c>
      <c r="B119" s="3">
        <f>COUNTIFS(Sheet1!B:B,'Entities table_CCMS Panel View'!A119)</f>
        <v>0</v>
      </c>
      <c r="C119" s="3" t="s">
        <v>26</v>
      </c>
      <c r="D119" s="3" t="s">
        <v>27</v>
      </c>
      <c r="E119" s="3" t="s">
        <v>47</v>
      </c>
      <c r="F119" s="3">
        <v>218.28</v>
      </c>
      <c r="G119" s="3">
        <v>0</v>
      </c>
      <c r="H119" s="3">
        <v>0</v>
      </c>
      <c r="I119" s="3">
        <v>0.06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1"/>
      <c r="P119" s="3" t="s">
        <v>29</v>
      </c>
      <c r="Q119" s="3" t="s">
        <v>30</v>
      </c>
      <c r="R119" s="3" t="s">
        <v>31</v>
      </c>
      <c r="S119" s="3" t="s">
        <v>458</v>
      </c>
      <c r="T119" s="3">
        <v>5755183072046</v>
      </c>
      <c r="U119" s="3">
        <v>1785</v>
      </c>
      <c r="V119" s="3" t="s">
        <v>459</v>
      </c>
      <c r="W119" s="3">
        <v>0.06</v>
      </c>
      <c r="X119" s="3">
        <v>10.984837600000001</v>
      </c>
      <c r="Y119" s="3">
        <v>76.930635800000005</v>
      </c>
      <c r="Z119" s="3">
        <v>9677553379</v>
      </c>
    </row>
    <row r="120" spans="1:26" ht="15" hidden="1" customHeight="1" x14ac:dyDescent="0.25">
      <c r="A120" s="3" t="s">
        <v>460</v>
      </c>
      <c r="B120" s="3">
        <f>COUNTIFS(Sheet1!B:B,'Entities table_CCMS Panel View'!A120)</f>
        <v>1</v>
      </c>
      <c r="C120" s="3" t="s">
        <v>26</v>
      </c>
      <c r="D120" s="3" t="s">
        <v>27</v>
      </c>
      <c r="E120" s="3" t="s">
        <v>123</v>
      </c>
      <c r="F120" s="3">
        <v>228.11</v>
      </c>
      <c r="G120" s="3">
        <v>0</v>
      </c>
      <c r="H120" s="3">
        <v>0</v>
      </c>
      <c r="I120" s="3">
        <v>0.05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1"/>
      <c r="P120" s="3" t="s">
        <v>29</v>
      </c>
      <c r="Q120" s="3" t="s">
        <v>30</v>
      </c>
      <c r="R120" s="3" t="s">
        <v>60</v>
      </c>
      <c r="S120" s="3" t="s">
        <v>461</v>
      </c>
      <c r="T120" s="3">
        <v>5755183072681</v>
      </c>
      <c r="U120" s="3">
        <v>1565</v>
      </c>
      <c r="V120" s="3" t="s">
        <v>462</v>
      </c>
      <c r="W120" s="3">
        <v>0.04</v>
      </c>
      <c r="X120" s="3">
        <v>10.997957899999999</v>
      </c>
      <c r="Y120" s="3">
        <v>76.9424159</v>
      </c>
      <c r="Z120" s="3">
        <v>9677553379</v>
      </c>
    </row>
    <row r="121" spans="1:26" ht="15" hidden="1" customHeight="1" x14ac:dyDescent="0.25">
      <c r="A121" s="3" t="s">
        <v>463</v>
      </c>
      <c r="B121" s="3">
        <f>COUNTIFS(Sheet1!B:B,'Entities table_CCMS Panel View'!A121)</f>
        <v>1</v>
      </c>
      <c r="C121" s="3" t="s">
        <v>26</v>
      </c>
      <c r="D121" s="3" t="s">
        <v>27</v>
      </c>
      <c r="E121" s="3" t="s">
        <v>464</v>
      </c>
      <c r="F121" s="3">
        <v>227.22</v>
      </c>
      <c r="G121" s="3">
        <v>0</v>
      </c>
      <c r="H121" s="3">
        <v>0</v>
      </c>
      <c r="I121" s="3">
        <v>0.05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1"/>
      <c r="P121" s="3" t="s">
        <v>29</v>
      </c>
      <c r="Q121" s="3" t="s">
        <v>30</v>
      </c>
      <c r="R121" s="3" t="s">
        <v>60</v>
      </c>
      <c r="S121" s="3" t="s">
        <v>465</v>
      </c>
      <c r="T121" s="3">
        <v>5755183071013</v>
      </c>
      <c r="U121" s="3">
        <v>694</v>
      </c>
      <c r="V121" s="3" t="s">
        <v>466</v>
      </c>
      <c r="W121" s="3">
        <v>0.05</v>
      </c>
      <c r="X121" s="3">
        <v>10.989561500000001</v>
      </c>
      <c r="Y121" s="3">
        <v>76.941023799999996</v>
      </c>
      <c r="Z121" s="3">
        <v>9677553379</v>
      </c>
    </row>
    <row r="122" spans="1:26" ht="15" hidden="1" customHeight="1" x14ac:dyDescent="0.25">
      <c r="A122" s="3" t="s">
        <v>467</v>
      </c>
      <c r="B122" s="3">
        <f>COUNTIFS(Sheet1!B:B,'Entities table_CCMS Panel View'!A122)</f>
        <v>1</v>
      </c>
      <c r="C122" s="3" t="s">
        <v>84</v>
      </c>
      <c r="D122" s="3" t="s">
        <v>27</v>
      </c>
      <c r="E122" s="3" t="s">
        <v>468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 t="s">
        <v>48</v>
      </c>
      <c r="P122" s="3" t="s">
        <v>29</v>
      </c>
      <c r="Q122" s="3" t="s">
        <v>30</v>
      </c>
      <c r="R122" s="3" t="s">
        <v>37</v>
      </c>
      <c r="S122" s="3" t="s">
        <v>469</v>
      </c>
      <c r="T122" s="3">
        <v>5755183072738</v>
      </c>
      <c r="U122" s="3">
        <v>1913</v>
      </c>
      <c r="V122" s="3" t="s">
        <v>470</v>
      </c>
      <c r="W122" s="3">
        <v>0</v>
      </c>
      <c r="X122" s="3">
        <v>10.9917652</v>
      </c>
      <c r="Y122" s="3">
        <v>76.9381238</v>
      </c>
      <c r="Z122" s="3">
        <v>8667729030</v>
      </c>
    </row>
    <row r="123" spans="1:26" ht="15" hidden="1" customHeight="1" x14ac:dyDescent="0.25">
      <c r="A123" s="3" t="s">
        <v>471</v>
      </c>
      <c r="B123" s="3">
        <f>COUNTIFS(Sheet1!B:B,'Entities table_CCMS Panel View'!A123)</f>
        <v>1</v>
      </c>
      <c r="C123" s="3" t="s">
        <v>26</v>
      </c>
      <c r="D123" s="3" t="s">
        <v>27</v>
      </c>
      <c r="E123" s="3" t="s">
        <v>64</v>
      </c>
      <c r="F123" s="3">
        <v>218.76</v>
      </c>
      <c r="G123" s="3">
        <v>0</v>
      </c>
      <c r="H123" s="3">
        <v>0</v>
      </c>
      <c r="I123" s="3">
        <v>0.05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 t="s">
        <v>48</v>
      </c>
      <c r="P123" s="3" t="s">
        <v>29</v>
      </c>
      <c r="Q123" s="3" t="s">
        <v>30</v>
      </c>
      <c r="R123" s="3" t="s">
        <v>31</v>
      </c>
      <c r="S123" s="3" t="s">
        <v>472</v>
      </c>
      <c r="T123" s="3">
        <v>5755183060175</v>
      </c>
      <c r="U123" s="3">
        <v>603</v>
      </c>
      <c r="V123" s="3" t="s">
        <v>473</v>
      </c>
      <c r="W123" s="3">
        <v>0.05</v>
      </c>
      <c r="X123" s="3">
        <v>10.9925538</v>
      </c>
      <c r="Y123" s="3">
        <v>76.933371899999997</v>
      </c>
      <c r="Z123" s="3">
        <v>9080911740</v>
      </c>
    </row>
    <row r="124" spans="1:26" ht="15" hidden="1" customHeight="1" x14ac:dyDescent="0.25">
      <c r="A124" s="3" t="s">
        <v>474</v>
      </c>
      <c r="B124" s="3">
        <f>COUNTIFS(Sheet1!B:B,'Entities table_CCMS Panel View'!A124)</f>
        <v>1</v>
      </c>
      <c r="C124" s="3" t="s">
        <v>26</v>
      </c>
      <c r="D124" s="3" t="s">
        <v>27</v>
      </c>
      <c r="E124" s="3" t="s">
        <v>36</v>
      </c>
      <c r="F124" s="3">
        <v>227.72</v>
      </c>
      <c r="G124" s="3">
        <v>0</v>
      </c>
      <c r="H124" s="3">
        <v>0</v>
      </c>
      <c r="I124" s="3">
        <v>0.05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1"/>
      <c r="P124" s="3" t="s">
        <v>29</v>
      </c>
      <c r="Q124" s="3" t="s">
        <v>30</v>
      </c>
      <c r="R124" s="3" t="s">
        <v>60</v>
      </c>
      <c r="S124" s="3" t="s">
        <v>475</v>
      </c>
      <c r="T124" s="3">
        <v>5755183072343</v>
      </c>
      <c r="U124" s="3">
        <v>12</v>
      </c>
      <c r="V124" s="3" t="s">
        <v>476</v>
      </c>
      <c r="W124" s="3">
        <v>0.05</v>
      </c>
      <c r="X124" s="3">
        <v>10.994897999999999</v>
      </c>
      <c r="Y124" s="3">
        <v>76.940805999999995</v>
      </c>
      <c r="Z124" s="3">
        <v>9677553379</v>
      </c>
    </row>
    <row r="125" spans="1:26" ht="15" hidden="1" customHeight="1" x14ac:dyDescent="0.25">
      <c r="A125" s="3" t="s">
        <v>477</v>
      </c>
      <c r="B125" s="3">
        <f>COUNTIFS(Sheet1!B:B,'Entities table_CCMS Panel View'!A125)</f>
        <v>1</v>
      </c>
      <c r="C125" s="3" t="s">
        <v>26</v>
      </c>
      <c r="D125" s="3" t="s">
        <v>27</v>
      </c>
      <c r="E125" s="3" t="s">
        <v>478</v>
      </c>
      <c r="F125" s="3">
        <v>223.6</v>
      </c>
      <c r="G125" s="3">
        <v>0</v>
      </c>
      <c r="H125" s="3">
        <v>0</v>
      </c>
      <c r="I125" s="3">
        <v>0.06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 t="s">
        <v>479</v>
      </c>
      <c r="P125" s="3" t="s">
        <v>179</v>
      </c>
      <c r="Q125" s="3" t="s">
        <v>30</v>
      </c>
      <c r="R125" s="3" t="s">
        <v>37</v>
      </c>
      <c r="S125" s="3" t="s">
        <v>480</v>
      </c>
      <c r="T125" s="3">
        <v>5755183068361</v>
      </c>
      <c r="U125" s="3">
        <v>792</v>
      </c>
      <c r="V125" s="3" t="s">
        <v>481</v>
      </c>
      <c r="W125" s="3">
        <v>0.06</v>
      </c>
      <c r="X125" s="3">
        <v>10.990636500000001</v>
      </c>
      <c r="Y125" s="3">
        <v>76.944636599999995</v>
      </c>
      <c r="Z125" s="3">
        <v>9677553379</v>
      </c>
    </row>
    <row r="126" spans="1:26" ht="15" customHeight="1" x14ac:dyDescent="0.25">
      <c r="A126" s="3" t="s">
        <v>482</v>
      </c>
      <c r="B126" s="3">
        <f>COUNTIFS(Sheet1!B:B,'Entities table_CCMS Panel View'!A126)</f>
        <v>0</v>
      </c>
      <c r="C126" s="3" t="s">
        <v>26</v>
      </c>
      <c r="D126" s="3" t="s">
        <v>27</v>
      </c>
      <c r="E126" s="3" t="s">
        <v>107</v>
      </c>
      <c r="F126" s="3">
        <v>219.49</v>
      </c>
      <c r="G126" s="3">
        <v>0</v>
      </c>
      <c r="H126" s="3">
        <v>0</v>
      </c>
      <c r="I126" s="3">
        <v>0.05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1"/>
      <c r="P126" s="3" t="s">
        <v>29</v>
      </c>
      <c r="Q126" s="3" t="s">
        <v>30</v>
      </c>
      <c r="R126" s="3" t="s">
        <v>42</v>
      </c>
      <c r="S126" s="3" t="s">
        <v>483</v>
      </c>
      <c r="T126" s="3">
        <v>5755183068733</v>
      </c>
      <c r="U126" s="3">
        <v>946</v>
      </c>
      <c r="V126" s="3" t="s">
        <v>484</v>
      </c>
      <c r="W126" s="3">
        <v>0.06</v>
      </c>
      <c r="X126" s="3">
        <v>10.977827899999999</v>
      </c>
      <c r="Y126" s="3">
        <v>76.960344500000005</v>
      </c>
      <c r="Z126" s="3">
        <v>9677553379</v>
      </c>
    </row>
    <row r="127" spans="1:26" ht="15" hidden="1" customHeight="1" x14ac:dyDescent="0.25">
      <c r="A127" s="3" t="s">
        <v>485</v>
      </c>
      <c r="B127" s="3">
        <f>COUNTIFS(Sheet1!B:B,'Entities table_CCMS Panel View'!A127)</f>
        <v>1</v>
      </c>
      <c r="C127" s="3" t="s">
        <v>26</v>
      </c>
      <c r="D127" s="3" t="s">
        <v>27</v>
      </c>
      <c r="E127" s="3" t="s">
        <v>357</v>
      </c>
      <c r="F127" s="3">
        <v>215.13</v>
      </c>
      <c r="G127" s="3">
        <v>0</v>
      </c>
      <c r="H127" s="3">
        <v>0</v>
      </c>
      <c r="I127" s="3">
        <v>0.05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 t="s">
        <v>48</v>
      </c>
      <c r="P127" s="3" t="s">
        <v>29</v>
      </c>
      <c r="Q127" s="3" t="s">
        <v>30</v>
      </c>
      <c r="R127" s="3" t="s">
        <v>31</v>
      </c>
      <c r="S127" s="3" t="s">
        <v>486</v>
      </c>
      <c r="T127" s="3">
        <v>5755183073300</v>
      </c>
      <c r="U127" s="3">
        <v>1814</v>
      </c>
      <c r="V127" s="3" t="s">
        <v>487</v>
      </c>
      <c r="W127" s="3">
        <v>0.04</v>
      </c>
      <c r="X127" s="3">
        <v>10.995658799999999</v>
      </c>
      <c r="Y127" s="3">
        <v>76.932241300000001</v>
      </c>
      <c r="Z127" s="3">
        <v>9080911740</v>
      </c>
    </row>
    <row r="128" spans="1:26" ht="15" hidden="1" customHeight="1" x14ac:dyDescent="0.25">
      <c r="A128" s="3" t="s">
        <v>488</v>
      </c>
      <c r="B128" s="3">
        <f>COUNTIFS(Sheet1!B:B,'Entities table_CCMS Panel View'!A128)</f>
        <v>1</v>
      </c>
      <c r="C128" s="3" t="s">
        <v>26</v>
      </c>
      <c r="D128" s="3" t="s">
        <v>27</v>
      </c>
      <c r="E128" s="3" t="s">
        <v>41</v>
      </c>
      <c r="F128" s="3">
        <v>237.69</v>
      </c>
      <c r="G128" s="3">
        <v>0</v>
      </c>
      <c r="H128" s="3">
        <v>0</v>
      </c>
      <c r="I128" s="3">
        <v>0.06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1"/>
      <c r="P128" s="3" t="s">
        <v>29</v>
      </c>
      <c r="Q128" s="3" t="s">
        <v>30</v>
      </c>
      <c r="R128" s="3" t="s">
        <v>42</v>
      </c>
      <c r="S128" s="3" t="s">
        <v>489</v>
      </c>
      <c r="T128" s="3">
        <v>5755183012105</v>
      </c>
      <c r="U128" s="1"/>
      <c r="V128" s="3" t="s">
        <v>490</v>
      </c>
      <c r="W128" s="3">
        <v>0.06</v>
      </c>
      <c r="X128" s="3">
        <v>10.976352</v>
      </c>
      <c r="Y128" s="3">
        <v>76.962486999999996</v>
      </c>
      <c r="Z128" s="1"/>
    </row>
    <row r="129" spans="1:26" ht="15" hidden="1" customHeight="1" x14ac:dyDescent="0.25">
      <c r="A129" s="3" t="s">
        <v>491</v>
      </c>
      <c r="B129" s="3">
        <f>COUNTIFS(Sheet1!B:B,'Entities table_CCMS Panel View'!A129)</f>
        <v>1</v>
      </c>
      <c r="C129" s="3" t="s">
        <v>26</v>
      </c>
      <c r="D129" s="3" t="s">
        <v>27</v>
      </c>
      <c r="E129" s="3" t="s">
        <v>36</v>
      </c>
      <c r="F129" s="3">
        <v>230.22</v>
      </c>
      <c r="G129" s="3">
        <v>0</v>
      </c>
      <c r="H129" s="3">
        <v>0</v>
      </c>
      <c r="I129" s="3">
        <v>0.04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1"/>
      <c r="P129" s="3" t="s">
        <v>29</v>
      </c>
      <c r="Q129" s="3" t="s">
        <v>30</v>
      </c>
      <c r="R129" s="3" t="s">
        <v>31</v>
      </c>
      <c r="S129" s="3" t="s">
        <v>383</v>
      </c>
      <c r="T129" s="3">
        <v>5755183073255</v>
      </c>
      <c r="U129" s="3">
        <v>1896</v>
      </c>
      <c r="V129" s="3" t="s">
        <v>492</v>
      </c>
      <c r="W129" s="3">
        <v>0.04</v>
      </c>
      <c r="X129" s="3">
        <v>10.993902</v>
      </c>
      <c r="Y129" s="3">
        <v>76.9304585</v>
      </c>
      <c r="Z129" s="3">
        <v>9080911740</v>
      </c>
    </row>
    <row r="130" spans="1:26" ht="15" hidden="1" customHeight="1" x14ac:dyDescent="0.25">
      <c r="A130" s="3" t="s">
        <v>493</v>
      </c>
      <c r="B130" s="3">
        <f>COUNTIFS(Sheet1!B:B,'Entities table_CCMS Panel View'!A130)</f>
        <v>1</v>
      </c>
      <c r="C130" s="3" t="s">
        <v>26</v>
      </c>
      <c r="D130" s="3" t="s">
        <v>27</v>
      </c>
      <c r="E130" s="3" t="s">
        <v>89</v>
      </c>
      <c r="F130" s="3">
        <v>220.76</v>
      </c>
      <c r="G130" s="3">
        <v>0</v>
      </c>
      <c r="H130" s="3">
        <v>0</v>
      </c>
      <c r="I130" s="3">
        <v>0.05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1"/>
      <c r="P130" s="3" t="s">
        <v>29</v>
      </c>
      <c r="Q130" s="3" t="s">
        <v>30</v>
      </c>
      <c r="R130" s="3" t="s">
        <v>42</v>
      </c>
      <c r="S130" s="3" t="s">
        <v>494</v>
      </c>
      <c r="T130" s="3">
        <v>5755183072709</v>
      </c>
      <c r="U130" s="3">
        <v>963</v>
      </c>
      <c r="V130" s="3" t="s">
        <v>495</v>
      </c>
      <c r="W130" s="3">
        <v>0.04</v>
      </c>
      <c r="X130" s="3">
        <v>10.9782171</v>
      </c>
      <c r="Y130" s="3">
        <v>76.960010999999994</v>
      </c>
      <c r="Z130" s="3">
        <v>9677553379</v>
      </c>
    </row>
    <row r="131" spans="1:26" ht="15" hidden="1" customHeight="1" x14ac:dyDescent="0.25">
      <c r="A131" s="3" t="s">
        <v>496</v>
      </c>
      <c r="B131" s="3">
        <f>COUNTIFS(Sheet1!B:B,'Entities table_CCMS Panel View'!A131)</f>
        <v>1</v>
      </c>
      <c r="C131" s="3" t="s">
        <v>26</v>
      </c>
      <c r="D131" s="3" t="s">
        <v>27</v>
      </c>
      <c r="E131" s="3" t="s">
        <v>123</v>
      </c>
      <c r="F131" s="3">
        <v>223.47</v>
      </c>
      <c r="G131" s="3">
        <v>0</v>
      </c>
      <c r="H131" s="3">
        <v>0</v>
      </c>
      <c r="I131" s="3">
        <v>7.0000000000000007E-2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1"/>
      <c r="P131" s="3" t="s">
        <v>29</v>
      </c>
      <c r="Q131" s="3" t="s">
        <v>30</v>
      </c>
      <c r="R131" s="3" t="s">
        <v>31</v>
      </c>
      <c r="S131" s="3" t="s">
        <v>497</v>
      </c>
      <c r="T131" s="3">
        <v>5755183068730</v>
      </c>
      <c r="U131" s="3">
        <v>2184</v>
      </c>
      <c r="V131" s="3" t="s">
        <v>498</v>
      </c>
      <c r="W131" s="3">
        <v>7.0000000000000007E-2</v>
      </c>
      <c r="X131" s="3">
        <v>10.990115299999999</v>
      </c>
      <c r="Y131" s="3">
        <v>76.934422100000006</v>
      </c>
      <c r="Z131" s="3">
        <v>9080911740</v>
      </c>
    </row>
    <row r="132" spans="1:26" ht="15" customHeight="1" x14ac:dyDescent="0.25">
      <c r="A132" s="3" t="s">
        <v>499</v>
      </c>
      <c r="B132" s="3">
        <f>COUNTIFS(Sheet1!B:B,'Entities table_CCMS Panel View'!A132)</f>
        <v>0</v>
      </c>
      <c r="C132" s="3" t="s">
        <v>26</v>
      </c>
      <c r="D132" s="3" t="s">
        <v>27</v>
      </c>
      <c r="E132" s="3" t="s">
        <v>123</v>
      </c>
      <c r="F132" s="3">
        <v>223.41</v>
      </c>
      <c r="G132" s="3">
        <v>0</v>
      </c>
      <c r="H132" s="3">
        <v>0</v>
      </c>
      <c r="I132" s="3">
        <v>0.05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1"/>
      <c r="P132" s="3" t="s">
        <v>29</v>
      </c>
      <c r="Q132" s="3" t="s">
        <v>30</v>
      </c>
      <c r="R132" s="3" t="s">
        <v>31</v>
      </c>
      <c r="S132" s="3" t="s">
        <v>500</v>
      </c>
      <c r="T132" s="3">
        <v>5755183073499</v>
      </c>
      <c r="U132" s="3">
        <v>26</v>
      </c>
      <c r="V132" s="3" t="s">
        <v>501</v>
      </c>
      <c r="W132" s="3">
        <v>0.05</v>
      </c>
      <c r="X132" s="3">
        <v>10.990535400000001</v>
      </c>
      <c r="Y132" s="3">
        <v>76.933936900000006</v>
      </c>
      <c r="Z132" s="3">
        <v>9080911740</v>
      </c>
    </row>
    <row r="133" spans="1:26" ht="15" hidden="1" customHeight="1" x14ac:dyDescent="0.25">
      <c r="A133" s="3" t="s">
        <v>502</v>
      </c>
      <c r="B133" s="3">
        <f>COUNTIFS(Sheet1!B:B,'Entities table_CCMS Panel View'!A133)</f>
        <v>1</v>
      </c>
      <c r="C133" s="3" t="s">
        <v>26</v>
      </c>
      <c r="D133" s="3" t="s">
        <v>27</v>
      </c>
      <c r="E133" s="3" t="s">
        <v>357</v>
      </c>
      <c r="F133" s="3">
        <v>236.08</v>
      </c>
      <c r="G133" s="3">
        <v>0</v>
      </c>
      <c r="H133" s="3">
        <v>0</v>
      </c>
      <c r="I133" s="3">
        <v>0.05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1"/>
      <c r="P133" s="3" t="s">
        <v>29</v>
      </c>
      <c r="Q133" s="3" t="s">
        <v>30</v>
      </c>
      <c r="R133" s="3" t="s">
        <v>31</v>
      </c>
      <c r="S133" s="3" t="s">
        <v>455</v>
      </c>
      <c r="T133" s="3">
        <v>5755183072080</v>
      </c>
      <c r="U133" s="3">
        <v>1812</v>
      </c>
      <c r="V133" s="3" t="s">
        <v>503</v>
      </c>
      <c r="W133" s="3">
        <v>0.05</v>
      </c>
      <c r="X133" s="3">
        <v>10.995262800000001</v>
      </c>
      <c r="Y133" s="3">
        <v>76.928223200000005</v>
      </c>
      <c r="Z133" s="3">
        <v>9080911740</v>
      </c>
    </row>
    <row r="134" spans="1:26" ht="15" hidden="1" customHeight="1" x14ac:dyDescent="0.25">
      <c r="A134" s="3" t="s">
        <v>504</v>
      </c>
      <c r="B134" s="3">
        <f>COUNTIFS(Sheet1!B:B,'Entities table_CCMS Panel View'!A134)</f>
        <v>1</v>
      </c>
      <c r="C134" s="3" t="s">
        <v>26</v>
      </c>
      <c r="D134" s="3" t="s">
        <v>27</v>
      </c>
      <c r="E134" s="3" t="s">
        <v>72</v>
      </c>
      <c r="F134" s="3">
        <v>226.13</v>
      </c>
      <c r="G134" s="3">
        <v>0</v>
      </c>
      <c r="H134" s="3">
        <v>0</v>
      </c>
      <c r="I134" s="3">
        <v>0.05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1"/>
      <c r="P134" s="3" t="s">
        <v>29</v>
      </c>
      <c r="Q134" s="3" t="s">
        <v>30</v>
      </c>
      <c r="R134" s="3" t="s">
        <v>108</v>
      </c>
      <c r="S134" s="3" t="s">
        <v>505</v>
      </c>
      <c r="T134" s="3">
        <v>5755183072183</v>
      </c>
      <c r="U134" s="3">
        <v>887</v>
      </c>
      <c r="V134" s="3" t="s">
        <v>506</v>
      </c>
      <c r="W134" s="3">
        <v>0.05</v>
      </c>
      <c r="X134" s="3">
        <v>10.9879763</v>
      </c>
      <c r="Y134" s="3">
        <v>76.935090000000002</v>
      </c>
      <c r="Z134" s="3">
        <v>8667729030</v>
      </c>
    </row>
    <row r="135" spans="1:26" ht="15" hidden="1" customHeight="1" x14ac:dyDescent="0.25">
      <c r="A135" s="3" t="s">
        <v>507</v>
      </c>
      <c r="B135" s="3">
        <f>COUNTIFS(Sheet1!B:B,'Entities table_CCMS Panel View'!A135)</f>
        <v>1</v>
      </c>
      <c r="C135" s="3" t="s">
        <v>26</v>
      </c>
      <c r="D135" s="3" t="s">
        <v>27</v>
      </c>
      <c r="E135" s="3" t="s">
        <v>89</v>
      </c>
      <c r="F135" s="3">
        <v>229.45</v>
      </c>
      <c r="G135" s="3">
        <v>0</v>
      </c>
      <c r="H135" s="3">
        <v>0</v>
      </c>
      <c r="I135" s="3">
        <v>0.05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1"/>
      <c r="P135" s="3" t="s">
        <v>29</v>
      </c>
      <c r="Q135" s="3" t="s">
        <v>30</v>
      </c>
      <c r="R135" s="3" t="s">
        <v>42</v>
      </c>
      <c r="S135" s="3" t="s">
        <v>508</v>
      </c>
      <c r="T135" s="3">
        <v>5755183013519</v>
      </c>
      <c r="U135" s="3">
        <v>1208</v>
      </c>
      <c r="V135" s="3" t="s">
        <v>509</v>
      </c>
      <c r="W135" s="3">
        <v>0.05</v>
      </c>
      <c r="X135" s="3">
        <v>10.9865748</v>
      </c>
      <c r="Y135" s="3">
        <v>76.963060200000001</v>
      </c>
      <c r="Z135" s="3">
        <v>9677553379</v>
      </c>
    </row>
    <row r="136" spans="1:26" ht="15" customHeight="1" x14ac:dyDescent="0.25">
      <c r="A136" s="3" t="s">
        <v>510</v>
      </c>
      <c r="B136" s="3">
        <f>COUNTIFS(Sheet1!B:B,'Entities table_CCMS Panel View'!A136)</f>
        <v>0</v>
      </c>
      <c r="C136" s="3" t="s">
        <v>26</v>
      </c>
      <c r="D136" s="3" t="s">
        <v>27</v>
      </c>
      <c r="E136" s="3" t="s">
        <v>113</v>
      </c>
      <c r="F136" s="3">
        <v>224.45</v>
      </c>
      <c r="G136" s="3">
        <v>0</v>
      </c>
      <c r="H136" s="3">
        <v>0</v>
      </c>
      <c r="I136" s="3">
        <v>0.05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1"/>
      <c r="P136" s="3" t="s">
        <v>29</v>
      </c>
      <c r="Q136" s="3" t="s">
        <v>30</v>
      </c>
      <c r="R136" s="3" t="s">
        <v>42</v>
      </c>
      <c r="S136" s="3" t="s">
        <v>511</v>
      </c>
      <c r="T136" s="3">
        <v>5755183236178</v>
      </c>
      <c r="U136" s="3">
        <v>226</v>
      </c>
      <c r="V136" s="3" t="s">
        <v>512</v>
      </c>
      <c r="W136" s="3">
        <v>0.05</v>
      </c>
      <c r="X136" s="3">
        <v>10.97781</v>
      </c>
      <c r="Y136" s="3">
        <v>76.960329999999999</v>
      </c>
      <c r="Z136" s="1"/>
    </row>
    <row r="137" spans="1:26" ht="15" customHeight="1" x14ac:dyDescent="0.25">
      <c r="A137" s="3" t="s">
        <v>513</v>
      </c>
      <c r="B137" s="3">
        <f>COUNTIFS(Sheet1!B:B,'Entities table_CCMS Panel View'!A137)</f>
        <v>0</v>
      </c>
      <c r="C137" s="3" t="s">
        <v>26</v>
      </c>
      <c r="D137" s="3" t="s">
        <v>27</v>
      </c>
      <c r="E137" s="3" t="s">
        <v>514</v>
      </c>
      <c r="F137" s="3">
        <v>230.63</v>
      </c>
      <c r="G137" s="3">
        <v>0</v>
      </c>
      <c r="H137" s="3">
        <v>0</v>
      </c>
      <c r="I137" s="3">
        <v>0.04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1"/>
      <c r="P137" s="3" t="s">
        <v>29</v>
      </c>
      <c r="Q137" s="3" t="s">
        <v>30</v>
      </c>
      <c r="R137" s="3" t="s">
        <v>42</v>
      </c>
      <c r="S137" s="3" t="s">
        <v>515</v>
      </c>
      <c r="T137" s="3">
        <v>5755183068377</v>
      </c>
      <c r="U137" s="3" t="s">
        <v>516</v>
      </c>
      <c r="V137" s="3" t="s">
        <v>517</v>
      </c>
      <c r="W137" s="3">
        <v>0.04</v>
      </c>
      <c r="X137" s="3">
        <v>10.977094900000001</v>
      </c>
      <c r="Y137" s="3">
        <v>76.960624800000005</v>
      </c>
      <c r="Z137" s="3">
        <v>9080911740</v>
      </c>
    </row>
    <row r="138" spans="1:26" ht="15" hidden="1" customHeight="1" x14ac:dyDescent="0.25">
      <c r="A138" s="3" t="s">
        <v>518</v>
      </c>
      <c r="B138" s="3">
        <f>COUNTIFS(Sheet1!B:B,'Entities table_CCMS Panel View'!A138)</f>
        <v>1</v>
      </c>
      <c r="C138" s="3" t="s">
        <v>26</v>
      </c>
      <c r="D138" s="3" t="s">
        <v>27</v>
      </c>
      <c r="E138" s="3" t="s">
        <v>107</v>
      </c>
      <c r="F138" s="3">
        <v>217.85</v>
      </c>
      <c r="G138" s="3">
        <v>0</v>
      </c>
      <c r="H138" s="3">
        <v>0</v>
      </c>
      <c r="I138" s="3">
        <v>0.04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1"/>
      <c r="P138" s="3" t="s">
        <v>29</v>
      </c>
      <c r="Q138" s="3" t="s">
        <v>30</v>
      </c>
      <c r="R138" s="3" t="s">
        <v>37</v>
      </c>
      <c r="S138" s="3" t="s">
        <v>519</v>
      </c>
      <c r="T138" s="3">
        <v>5755183072228</v>
      </c>
      <c r="U138" s="3">
        <v>124</v>
      </c>
      <c r="V138" s="3" t="s">
        <v>520</v>
      </c>
      <c r="W138" s="3">
        <v>0.04</v>
      </c>
      <c r="X138" s="3">
        <v>10.990855099999999</v>
      </c>
      <c r="Y138" s="3">
        <v>76.941936200000001</v>
      </c>
      <c r="Z138" s="3">
        <v>9677553379</v>
      </c>
    </row>
    <row r="139" spans="1:26" ht="15" customHeight="1" x14ac:dyDescent="0.25">
      <c r="A139" s="3" t="s">
        <v>521</v>
      </c>
      <c r="B139" s="3">
        <f>COUNTIFS(Sheet1!B:B,'Entities table_CCMS Panel View'!A139)</f>
        <v>0</v>
      </c>
      <c r="C139" s="3" t="s">
        <v>26</v>
      </c>
      <c r="D139" s="3" t="s">
        <v>27</v>
      </c>
      <c r="E139" s="3" t="s">
        <v>522</v>
      </c>
      <c r="F139" s="3">
        <v>228.09</v>
      </c>
      <c r="G139" s="3">
        <v>0</v>
      </c>
      <c r="H139" s="3">
        <v>0</v>
      </c>
      <c r="I139" s="3">
        <v>0.05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1"/>
      <c r="P139" s="3" t="s">
        <v>29</v>
      </c>
      <c r="Q139" s="3" t="s">
        <v>30</v>
      </c>
      <c r="R139" s="3" t="s">
        <v>42</v>
      </c>
      <c r="S139" s="3" t="s">
        <v>523</v>
      </c>
      <c r="T139" s="3">
        <v>5755183012927</v>
      </c>
      <c r="U139" s="3" t="s">
        <v>524</v>
      </c>
      <c r="V139" s="3" t="s">
        <v>525</v>
      </c>
      <c r="W139" s="3">
        <v>0.04</v>
      </c>
      <c r="X139" s="3">
        <v>10.975129799999999</v>
      </c>
      <c r="Y139" s="3">
        <v>76.963230699999997</v>
      </c>
      <c r="Z139" s="3">
        <v>9080911740</v>
      </c>
    </row>
    <row r="140" spans="1:26" ht="15" hidden="1" customHeight="1" x14ac:dyDescent="0.25">
      <c r="A140" s="3" t="s">
        <v>526</v>
      </c>
      <c r="B140" s="3">
        <f>COUNTIFS(Sheet1!B:B,'Entities table_CCMS Panel View'!A140)</f>
        <v>1</v>
      </c>
      <c r="C140" s="3" t="s">
        <v>26</v>
      </c>
      <c r="D140" s="3" t="s">
        <v>27</v>
      </c>
      <c r="E140" s="3" t="s">
        <v>72</v>
      </c>
      <c r="F140" s="3">
        <v>208.95</v>
      </c>
      <c r="G140" s="3">
        <v>0</v>
      </c>
      <c r="H140" s="3">
        <v>0</v>
      </c>
      <c r="I140" s="3">
        <v>0.04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1"/>
      <c r="P140" s="3" t="s">
        <v>29</v>
      </c>
      <c r="Q140" s="3" t="s">
        <v>30</v>
      </c>
      <c r="R140" s="3" t="s">
        <v>60</v>
      </c>
      <c r="S140" s="3" t="s">
        <v>527</v>
      </c>
      <c r="T140" s="3">
        <v>5755183070380</v>
      </c>
      <c r="U140" s="3">
        <v>806</v>
      </c>
      <c r="V140" s="3" t="s">
        <v>528</v>
      </c>
      <c r="W140" s="3">
        <v>0.04</v>
      </c>
      <c r="X140" s="3">
        <v>11.000466599999999</v>
      </c>
      <c r="Y140" s="3">
        <v>76.937501499999996</v>
      </c>
      <c r="Z140" s="3">
        <v>9677553379</v>
      </c>
    </row>
    <row r="141" spans="1:26" ht="15" hidden="1" customHeight="1" x14ac:dyDescent="0.25">
      <c r="A141" s="3" t="s">
        <v>529</v>
      </c>
      <c r="B141" s="3">
        <f>COUNTIFS(Sheet1!B:B,'Entities table_CCMS Panel View'!A141)</f>
        <v>1</v>
      </c>
      <c r="C141" s="3" t="s">
        <v>26</v>
      </c>
      <c r="D141" s="3" t="s">
        <v>27</v>
      </c>
      <c r="E141" s="3" t="s">
        <v>80</v>
      </c>
      <c r="F141" s="3">
        <v>230.17</v>
      </c>
      <c r="G141" s="3">
        <v>0</v>
      </c>
      <c r="H141" s="3">
        <v>0</v>
      </c>
      <c r="I141" s="3">
        <v>0.05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1"/>
      <c r="P141" s="3" t="s">
        <v>29</v>
      </c>
      <c r="Q141" s="3" t="s">
        <v>30</v>
      </c>
      <c r="R141" s="3" t="s">
        <v>60</v>
      </c>
      <c r="S141" s="3" t="s">
        <v>530</v>
      </c>
      <c r="T141" s="3">
        <v>5755183073311</v>
      </c>
      <c r="U141" s="3">
        <v>1934</v>
      </c>
      <c r="V141" s="3" t="s">
        <v>531</v>
      </c>
      <c r="W141" s="3">
        <v>0.05</v>
      </c>
      <c r="X141" s="3">
        <v>11.0007716</v>
      </c>
      <c r="Y141" s="3">
        <v>76.941622800000005</v>
      </c>
      <c r="Z141" s="3">
        <v>9677553379</v>
      </c>
    </row>
    <row r="142" spans="1:26" ht="15" customHeight="1" x14ac:dyDescent="0.25">
      <c r="A142" s="3" t="s">
        <v>532</v>
      </c>
      <c r="B142" s="3">
        <f>COUNTIFS(Sheet1!B:B,'Entities table_CCMS Panel View'!A142)</f>
        <v>0</v>
      </c>
      <c r="C142" s="3" t="s">
        <v>26</v>
      </c>
      <c r="D142" s="3" t="s">
        <v>27</v>
      </c>
      <c r="E142" s="3" t="s">
        <v>533</v>
      </c>
      <c r="F142" s="3">
        <v>231.68</v>
      </c>
      <c r="G142" s="3">
        <v>0</v>
      </c>
      <c r="H142" s="3">
        <v>0</v>
      </c>
      <c r="I142" s="3">
        <v>0.05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1"/>
      <c r="P142" s="3" t="s">
        <v>29</v>
      </c>
      <c r="Q142" s="3" t="s">
        <v>30</v>
      </c>
      <c r="R142" s="3" t="s">
        <v>42</v>
      </c>
      <c r="S142" s="3" t="s">
        <v>534</v>
      </c>
      <c r="T142" s="3">
        <v>5755183072215</v>
      </c>
      <c r="U142" s="3">
        <v>1458</v>
      </c>
      <c r="V142" s="3" t="s">
        <v>535</v>
      </c>
      <c r="W142" s="3">
        <v>0.05</v>
      </c>
      <c r="X142" s="3">
        <v>10.9752653</v>
      </c>
      <c r="Y142" s="3">
        <v>76.958167799999998</v>
      </c>
      <c r="Z142" s="3">
        <v>9080911740</v>
      </c>
    </row>
    <row r="143" spans="1:26" ht="15" hidden="1" customHeight="1" x14ac:dyDescent="0.25">
      <c r="A143" s="3" t="s">
        <v>536</v>
      </c>
      <c r="B143" s="3">
        <f>COUNTIFS(Sheet1!B:B,'Entities table_CCMS Panel View'!A143)</f>
        <v>1</v>
      </c>
      <c r="C143" s="3" t="s">
        <v>26</v>
      </c>
      <c r="D143" s="3" t="s">
        <v>27</v>
      </c>
      <c r="E143" s="3" t="s">
        <v>72</v>
      </c>
      <c r="F143" s="3">
        <v>232.92</v>
      </c>
      <c r="G143" s="3">
        <v>0</v>
      </c>
      <c r="H143" s="3">
        <v>0</v>
      </c>
      <c r="I143" s="3">
        <v>0.05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1"/>
      <c r="P143" s="3" t="s">
        <v>29</v>
      </c>
      <c r="Q143" s="3" t="s">
        <v>30</v>
      </c>
      <c r="R143" s="3" t="s">
        <v>60</v>
      </c>
      <c r="S143" s="3" t="s">
        <v>537</v>
      </c>
      <c r="T143" s="3">
        <v>5755183072267</v>
      </c>
      <c r="U143" s="3">
        <v>1758</v>
      </c>
      <c r="V143" s="3" t="s">
        <v>538</v>
      </c>
      <c r="W143" s="3">
        <v>0.05</v>
      </c>
      <c r="X143" s="3">
        <v>10.999640599999999</v>
      </c>
      <c r="Y143" s="3">
        <v>76.944516800000002</v>
      </c>
      <c r="Z143" s="3">
        <v>9677553379</v>
      </c>
    </row>
    <row r="144" spans="1:26" ht="15" hidden="1" customHeight="1" x14ac:dyDescent="0.25">
      <c r="A144" s="3" t="s">
        <v>539</v>
      </c>
      <c r="B144" s="3">
        <f>COUNTIFS(Sheet1!B:B,'Entities table_CCMS Panel View'!A144)</f>
        <v>1</v>
      </c>
      <c r="C144" s="3" t="s">
        <v>26</v>
      </c>
      <c r="D144" s="3" t="s">
        <v>27</v>
      </c>
      <c r="E144" s="3" t="s">
        <v>107</v>
      </c>
      <c r="F144" s="3">
        <v>213.51</v>
      </c>
      <c r="G144" s="3">
        <v>0</v>
      </c>
      <c r="H144" s="3">
        <v>0</v>
      </c>
      <c r="I144" s="3">
        <v>0.05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1"/>
      <c r="P144" s="3" t="s">
        <v>29</v>
      </c>
      <c r="Q144" s="3" t="s">
        <v>30</v>
      </c>
      <c r="R144" s="3" t="s">
        <v>108</v>
      </c>
      <c r="S144" s="3" t="s">
        <v>540</v>
      </c>
      <c r="T144" s="3">
        <v>5755183058112</v>
      </c>
      <c r="U144" s="3">
        <v>3</v>
      </c>
      <c r="V144" s="3" t="s">
        <v>541</v>
      </c>
      <c r="W144" s="3">
        <v>0.05</v>
      </c>
      <c r="X144" s="3">
        <v>10.985151</v>
      </c>
      <c r="Y144" s="3">
        <v>76.940931599999999</v>
      </c>
      <c r="Z144" s="3">
        <v>8667729030</v>
      </c>
    </row>
    <row r="145" spans="1:26" ht="15" hidden="1" customHeight="1" x14ac:dyDescent="0.25">
      <c r="A145" s="3" t="s">
        <v>542</v>
      </c>
      <c r="B145" s="3">
        <f>COUNTIFS(Sheet1!B:B,'Entities table_CCMS Panel View'!A145)</f>
        <v>1</v>
      </c>
      <c r="C145" s="3" t="s">
        <v>26</v>
      </c>
      <c r="D145" s="3" t="s">
        <v>27</v>
      </c>
      <c r="E145" s="3" t="s">
        <v>543</v>
      </c>
      <c r="F145" s="3">
        <v>219.85</v>
      </c>
      <c r="G145" s="3">
        <v>0</v>
      </c>
      <c r="H145" s="3">
        <v>0</v>
      </c>
      <c r="I145" s="3">
        <v>0.05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1"/>
      <c r="P145" s="3" t="s">
        <v>29</v>
      </c>
      <c r="Q145" s="3" t="s">
        <v>30</v>
      </c>
      <c r="R145" s="3" t="s">
        <v>42</v>
      </c>
      <c r="S145" s="3" t="s">
        <v>544</v>
      </c>
      <c r="T145" s="3">
        <v>5755183068749</v>
      </c>
      <c r="U145" s="3">
        <v>935</v>
      </c>
      <c r="V145" s="3" t="s">
        <v>545</v>
      </c>
      <c r="W145" s="3">
        <v>0.05</v>
      </c>
      <c r="X145" s="3">
        <v>10.9861989</v>
      </c>
      <c r="Y145" s="3">
        <v>76.964765</v>
      </c>
      <c r="Z145" s="3">
        <v>9677553379</v>
      </c>
    </row>
    <row r="146" spans="1:26" ht="15" hidden="1" customHeight="1" x14ac:dyDescent="0.25">
      <c r="A146" s="3" t="s">
        <v>546</v>
      </c>
      <c r="B146" s="3">
        <f>COUNTIFS(Sheet1!B:B,'Entities table_CCMS Panel View'!A146)</f>
        <v>1</v>
      </c>
      <c r="C146" s="3" t="s">
        <v>26</v>
      </c>
      <c r="D146" s="3" t="s">
        <v>27</v>
      </c>
      <c r="E146" s="3" t="s">
        <v>123</v>
      </c>
      <c r="F146" s="3">
        <v>216</v>
      </c>
      <c r="G146" s="3">
        <v>0</v>
      </c>
      <c r="H146" s="3">
        <v>0</v>
      </c>
      <c r="I146" s="3">
        <v>0.05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1"/>
      <c r="P146" s="3" t="s">
        <v>29</v>
      </c>
      <c r="Q146" s="3" t="s">
        <v>30</v>
      </c>
      <c r="R146" s="3" t="s">
        <v>60</v>
      </c>
      <c r="S146" s="3" t="s">
        <v>547</v>
      </c>
      <c r="T146" s="3">
        <v>5755183072922</v>
      </c>
      <c r="U146" s="3">
        <v>730</v>
      </c>
      <c r="V146" s="3" t="s">
        <v>548</v>
      </c>
      <c r="W146" s="3">
        <v>0.05</v>
      </c>
      <c r="X146" s="3">
        <v>10.994373400000001</v>
      </c>
      <c r="Y146" s="3">
        <v>76.942396900000006</v>
      </c>
      <c r="Z146" s="3">
        <v>9677553379</v>
      </c>
    </row>
    <row r="147" spans="1:26" ht="15" hidden="1" customHeight="1" x14ac:dyDescent="0.25">
      <c r="A147" s="3" t="s">
        <v>549</v>
      </c>
      <c r="B147" s="3">
        <f>COUNTIFS(Sheet1!B:B,'Entities table_CCMS Panel View'!A147)</f>
        <v>1</v>
      </c>
      <c r="C147" s="3" t="s">
        <v>26</v>
      </c>
      <c r="D147" s="3" t="s">
        <v>27</v>
      </c>
      <c r="E147" s="3" t="s">
        <v>72</v>
      </c>
      <c r="F147" s="3">
        <v>227.8</v>
      </c>
      <c r="G147" s="3">
        <v>0</v>
      </c>
      <c r="H147" s="3">
        <v>0</v>
      </c>
      <c r="I147" s="3">
        <v>0.05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1"/>
      <c r="P147" s="3" t="s">
        <v>29</v>
      </c>
      <c r="Q147" s="3" t="s">
        <v>30</v>
      </c>
      <c r="R147" s="3" t="s">
        <v>42</v>
      </c>
      <c r="S147" s="3" t="s">
        <v>550</v>
      </c>
      <c r="T147" s="3">
        <v>5755183072762</v>
      </c>
      <c r="U147" s="3">
        <v>1252</v>
      </c>
      <c r="V147" s="3" t="s">
        <v>551</v>
      </c>
      <c r="W147" s="3">
        <v>0.06</v>
      </c>
      <c r="X147" s="3">
        <v>10.980840600000001</v>
      </c>
      <c r="Y147" s="3">
        <v>76.968341199999998</v>
      </c>
      <c r="Z147" s="3">
        <v>9080911740</v>
      </c>
    </row>
    <row r="148" spans="1:26" ht="15" hidden="1" customHeight="1" x14ac:dyDescent="0.25">
      <c r="A148" s="3" t="s">
        <v>552</v>
      </c>
      <c r="B148" s="3">
        <f>COUNTIFS(Sheet1!B:B,'Entities table_CCMS Panel View'!A148)</f>
        <v>1</v>
      </c>
      <c r="C148" s="3" t="s">
        <v>84</v>
      </c>
      <c r="D148" s="3" t="s">
        <v>27</v>
      </c>
      <c r="E148" s="3" t="s">
        <v>553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1"/>
      <c r="P148" s="3" t="s">
        <v>29</v>
      </c>
      <c r="Q148" s="3" t="s">
        <v>30</v>
      </c>
      <c r="R148" s="3" t="s">
        <v>31</v>
      </c>
      <c r="S148" s="3" t="s">
        <v>554</v>
      </c>
      <c r="T148" s="3">
        <v>5755183070395</v>
      </c>
      <c r="U148" s="3">
        <v>1052</v>
      </c>
      <c r="V148" s="3" t="s">
        <v>555</v>
      </c>
      <c r="W148" s="3">
        <v>0</v>
      </c>
      <c r="X148" s="3">
        <v>10.9923384</v>
      </c>
      <c r="Y148" s="3">
        <v>76.925696900000005</v>
      </c>
      <c r="Z148" s="3">
        <v>9080911740</v>
      </c>
    </row>
    <row r="149" spans="1:26" ht="15" hidden="1" customHeight="1" x14ac:dyDescent="0.25">
      <c r="A149" s="3" t="s">
        <v>556</v>
      </c>
      <c r="B149" s="3">
        <f>COUNTIFS(Sheet1!B:B,'Entities table_CCMS Panel View'!A149)</f>
        <v>1</v>
      </c>
      <c r="C149" s="3" t="s">
        <v>26</v>
      </c>
      <c r="D149" s="3" t="s">
        <v>27</v>
      </c>
      <c r="E149" s="3" t="s">
        <v>113</v>
      </c>
      <c r="F149" s="3">
        <v>226.57</v>
      </c>
      <c r="G149" s="3">
        <v>0</v>
      </c>
      <c r="H149" s="3">
        <v>0</v>
      </c>
      <c r="I149" s="3">
        <v>0.06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1"/>
      <c r="P149" s="3" t="s">
        <v>29</v>
      </c>
      <c r="Q149" s="3" t="s">
        <v>30</v>
      </c>
      <c r="R149" s="3" t="s">
        <v>42</v>
      </c>
      <c r="S149" s="3" t="s">
        <v>557</v>
      </c>
      <c r="T149" s="3">
        <v>5755183060338</v>
      </c>
      <c r="U149" s="3">
        <v>2087</v>
      </c>
      <c r="V149" s="3" t="s">
        <v>558</v>
      </c>
      <c r="W149" s="3">
        <v>0.06</v>
      </c>
      <c r="X149" s="3">
        <v>10.975767100000001</v>
      </c>
      <c r="Y149" s="3">
        <v>76.963870299999996</v>
      </c>
      <c r="Z149" s="3">
        <v>9677553379</v>
      </c>
    </row>
    <row r="150" spans="1:26" ht="15" customHeight="1" x14ac:dyDescent="0.25">
      <c r="A150" s="3" t="s">
        <v>559</v>
      </c>
      <c r="B150" s="3">
        <f>COUNTIFS(Sheet1!B:B,'Entities table_CCMS Panel View'!A150)</f>
        <v>0</v>
      </c>
      <c r="C150" s="3" t="s">
        <v>26</v>
      </c>
      <c r="D150" s="3" t="s">
        <v>27</v>
      </c>
      <c r="E150" s="3" t="s">
        <v>128</v>
      </c>
      <c r="F150" s="3">
        <v>229.04</v>
      </c>
      <c r="G150" s="3">
        <v>0</v>
      </c>
      <c r="H150" s="3">
        <v>0</v>
      </c>
      <c r="I150" s="3">
        <v>0.05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1"/>
      <c r="P150" s="3" t="s">
        <v>29</v>
      </c>
      <c r="Q150" s="3" t="s">
        <v>30</v>
      </c>
      <c r="R150" s="3" t="s">
        <v>31</v>
      </c>
      <c r="S150" s="3" t="s">
        <v>560</v>
      </c>
      <c r="T150" s="3">
        <v>5755183072732</v>
      </c>
      <c r="U150" s="3">
        <v>784</v>
      </c>
      <c r="V150" s="3" t="s">
        <v>561</v>
      </c>
      <c r="W150" s="3">
        <v>0.05</v>
      </c>
      <c r="X150" s="3">
        <v>10.987838999999999</v>
      </c>
      <c r="Y150" s="3">
        <v>76.934554899999995</v>
      </c>
      <c r="Z150" s="3">
        <v>8667729030</v>
      </c>
    </row>
    <row r="151" spans="1:26" ht="15" hidden="1" customHeight="1" x14ac:dyDescent="0.25">
      <c r="A151" s="3" t="s">
        <v>562</v>
      </c>
      <c r="B151" s="3">
        <f>COUNTIFS(Sheet1!B:B,'Entities table_CCMS Panel View'!A151)</f>
        <v>1</v>
      </c>
      <c r="C151" s="3" t="s">
        <v>26</v>
      </c>
      <c r="D151" s="3" t="s">
        <v>27</v>
      </c>
      <c r="E151" s="3" t="s">
        <v>64</v>
      </c>
      <c r="F151" s="3">
        <v>226.08</v>
      </c>
      <c r="G151" s="3">
        <v>0</v>
      </c>
      <c r="H151" s="3">
        <v>0</v>
      </c>
      <c r="I151" s="3">
        <v>0.05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1"/>
      <c r="P151" s="3" t="s">
        <v>29</v>
      </c>
      <c r="Q151" s="3" t="s">
        <v>30</v>
      </c>
      <c r="R151" s="3" t="s">
        <v>60</v>
      </c>
      <c r="S151" s="3" t="s">
        <v>563</v>
      </c>
      <c r="T151" s="3">
        <v>5755183072667</v>
      </c>
      <c r="U151" s="3">
        <v>1835</v>
      </c>
      <c r="V151" s="3" t="s">
        <v>564</v>
      </c>
      <c r="W151" s="3">
        <v>0.05</v>
      </c>
      <c r="X151" s="3">
        <v>10.998845899999999</v>
      </c>
      <c r="Y151" s="3">
        <v>76.940685099999996</v>
      </c>
      <c r="Z151" s="3">
        <v>9677553379</v>
      </c>
    </row>
    <row r="152" spans="1:26" ht="15" hidden="1" customHeight="1" x14ac:dyDescent="0.25">
      <c r="A152" s="3" t="s">
        <v>565</v>
      </c>
      <c r="B152" s="3">
        <f>COUNTIFS(Sheet1!B:B,'Entities table_CCMS Panel View'!A152)</f>
        <v>1</v>
      </c>
      <c r="C152" s="3" t="s">
        <v>26</v>
      </c>
      <c r="D152" s="3" t="s">
        <v>27</v>
      </c>
      <c r="E152" s="3" t="s">
        <v>280</v>
      </c>
      <c r="F152" s="3">
        <v>210.07</v>
      </c>
      <c r="G152" s="3">
        <v>0</v>
      </c>
      <c r="H152" s="3">
        <v>0</v>
      </c>
      <c r="I152" s="3">
        <v>0.06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1"/>
      <c r="P152" s="3" t="s">
        <v>29</v>
      </c>
      <c r="Q152" s="3" t="s">
        <v>30</v>
      </c>
      <c r="R152" s="3" t="s">
        <v>60</v>
      </c>
      <c r="S152" s="3" t="s">
        <v>566</v>
      </c>
      <c r="T152" s="3">
        <v>5755183072474</v>
      </c>
      <c r="U152" s="3">
        <v>87</v>
      </c>
      <c r="V152" s="3" t="s">
        <v>567</v>
      </c>
      <c r="W152" s="3">
        <v>0.06</v>
      </c>
      <c r="X152" s="3">
        <v>10.994329199999999</v>
      </c>
      <c r="Y152" s="3">
        <v>76.942495399999999</v>
      </c>
      <c r="Z152" s="3">
        <v>9677553379</v>
      </c>
    </row>
    <row r="153" spans="1:26" ht="15" customHeight="1" x14ac:dyDescent="0.25">
      <c r="A153" s="3" t="s">
        <v>568</v>
      </c>
      <c r="B153" s="3">
        <f>COUNTIFS(Sheet1!B:B,'Entities table_CCMS Panel View'!A153)</f>
        <v>0</v>
      </c>
      <c r="C153" s="3" t="s">
        <v>101</v>
      </c>
      <c r="D153" s="3" t="s">
        <v>102</v>
      </c>
      <c r="E153" s="3" t="s">
        <v>569</v>
      </c>
      <c r="F153" s="3">
        <v>224.6</v>
      </c>
      <c r="G153" s="3">
        <v>224.62</v>
      </c>
      <c r="H153" s="3">
        <v>224.65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 t="s">
        <v>570</v>
      </c>
      <c r="P153" s="3" t="s">
        <v>29</v>
      </c>
      <c r="Q153" s="3" t="s">
        <v>30</v>
      </c>
      <c r="R153" s="3" t="s">
        <v>37</v>
      </c>
      <c r="S153" s="3" t="s">
        <v>571</v>
      </c>
      <c r="T153" s="1"/>
      <c r="U153" s="3">
        <v>499</v>
      </c>
      <c r="V153" s="3" t="s">
        <v>572</v>
      </c>
      <c r="W153" s="3">
        <v>0</v>
      </c>
      <c r="X153" s="3">
        <v>10.9903669</v>
      </c>
      <c r="Y153" s="3">
        <v>76.946481700000007</v>
      </c>
      <c r="Z153" s="3">
        <v>9677553379</v>
      </c>
    </row>
    <row r="154" spans="1:26" ht="15" hidden="1" customHeight="1" x14ac:dyDescent="0.25">
      <c r="A154" s="3" t="s">
        <v>573</v>
      </c>
      <c r="B154" s="3">
        <f>COUNTIFS(Sheet1!B:B,'Entities table_CCMS Panel View'!A154)</f>
        <v>1</v>
      </c>
      <c r="C154" s="3" t="s">
        <v>26</v>
      </c>
      <c r="D154" s="3" t="s">
        <v>27</v>
      </c>
      <c r="E154" s="3" t="s">
        <v>89</v>
      </c>
      <c r="F154" s="3">
        <v>230.28</v>
      </c>
      <c r="G154" s="3">
        <v>231.29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 t="s">
        <v>574</v>
      </c>
      <c r="P154" s="3" t="s">
        <v>29</v>
      </c>
      <c r="Q154" s="3" t="s">
        <v>30</v>
      </c>
      <c r="R154" s="3" t="s">
        <v>42</v>
      </c>
      <c r="S154" s="3" t="s">
        <v>575</v>
      </c>
      <c r="T154" s="3">
        <v>8300847704</v>
      </c>
      <c r="U154" s="1"/>
      <c r="V154" s="3" t="s">
        <v>576</v>
      </c>
      <c r="W154" s="3">
        <v>0</v>
      </c>
      <c r="X154" s="3">
        <v>11.1516105</v>
      </c>
      <c r="Y154" s="3">
        <v>76.9462616</v>
      </c>
      <c r="Z154" s="1"/>
    </row>
    <row r="155" spans="1:26" ht="15" hidden="1" customHeight="1" x14ac:dyDescent="0.25">
      <c r="A155" s="3" t="s">
        <v>577</v>
      </c>
      <c r="B155" s="3">
        <f>COUNTIFS(Sheet1!B:B,'Entities table_CCMS Panel View'!A155)</f>
        <v>1</v>
      </c>
      <c r="C155" s="3" t="s">
        <v>26</v>
      </c>
      <c r="D155" s="3" t="s">
        <v>27</v>
      </c>
      <c r="E155" s="3" t="s">
        <v>72</v>
      </c>
      <c r="F155" s="3">
        <v>221.47</v>
      </c>
      <c r="G155" s="3">
        <v>0</v>
      </c>
      <c r="H155" s="3">
        <v>0</v>
      </c>
      <c r="I155" s="3">
        <v>0.05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1"/>
      <c r="P155" s="3" t="s">
        <v>29</v>
      </c>
      <c r="Q155" s="3" t="s">
        <v>30</v>
      </c>
      <c r="R155" s="3" t="s">
        <v>42</v>
      </c>
      <c r="S155" s="3" t="s">
        <v>578</v>
      </c>
      <c r="T155" s="3">
        <v>5755183072679</v>
      </c>
      <c r="U155" s="3">
        <v>1367</v>
      </c>
      <c r="V155" s="3" t="s">
        <v>579</v>
      </c>
      <c r="W155" s="3">
        <v>0.05</v>
      </c>
      <c r="X155" s="3">
        <v>10.975918699999999</v>
      </c>
      <c r="Y155" s="3">
        <v>76.958049900000006</v>
      </c>
      <c r="Z155" s="3">
        <v>9080911740</v>
      </c>
    </row>
    <row r="156" spans="1:26" ht="15" hidden="1" customHeight="1" x14ac:dyDescent="0.25">
      <c r="A156" s="3" t="s">
        <v>580</v>
      </c>
      <c r="B156" s="3">
        <f>COUNTIFS(Sheet1!B:B,'Entities table_CCMS Panel View'!A156)</f>
        <v>1</v>
      </c>
      <c r="C156" s="3" t="s">
        <v>26</v>
      </c>
      <c r="D156" s="3" t="s">
        <v>27</v>
      </c>
      <c r="E156" s="3" t="s">
        <v>107</v>
      </c>
      <c r="F156" s="3">
        <v>222.43</v>
      </c>
      <c r="G156" s="3">
        <v>0</v>
      </c>
      <c r="H156" s="3">
        <v>0</v>
      </c>
      <c r="I156" s="3">
        <v>0.05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 t="s">
        <v>48</v>
      </c>
      <c r="P156" s="3" t="s">
        <v>29</v>
      </c>
      <c r="Q156" s="3" t="s">
        <v>30</v>
      </c>
      <c r="R156" s="3" t="s">
        <v>60</v>
      </c>
      <c r="S156" s="3" t="s">
        <v>581</v>
      </c>
      <c r="T156" s="3">
        <v>5755183068331</v>
      </c>
      <c r="U156" s="3">
        <v>1466</v>
      </c>
      <c r="V156" s="3" t="s">
        <v>582</v>
      </c>
      <c r="W156" s="3">
        <v>0.04</v>
      </c>
      <c r="X156" s="3">
        <v>10.9981843</v>
      </c>
      <c r="Y156" s="3">
        <v>76.940081500000005</v>
      </c>
      <c r="Z156" s="3">
        <v>9677553379</v>
      </c>
    </row>
    <row r="157" spans="1:26" ht="15" hidden="1" customHeight="1" x14ac:dyDescent="0.25">
      <c r="A157" s="3" t="s">
        <v>583</v>
      </c>
      <c r="B157" s="3">
        <f>COUNTIFS(Sheet1!B:B,'Entities table_CCMS Panel View'!A157)</f>
        <v>1</v>
      </c>
      <c r="C157" s="3" t="s">
        <v>26</v>
      </c>
      <c r="D157" s="3" t="s">
        <v>27</v>
      </c>
      <c r="E157" s="3" t="s">
        <v>123</v>
      </c>
      <c r="F157" s="3">
        <v>211.13</v>
      </c>
      <c r="G157" s="3">
        <v>0</v>
      </c>
      <c r="H157" s="3">
        <v>0</v>
      </c>
      <c r="I157" s="3">
        <v>0.05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1"/>
      <c r="P157" s="3" t="s">
        <v>29</v>
      </c>
      <c r="Q157" s="3" t="s">
        <v>30</v>
      </c>
      <c r="R157" s="3" t="s">
        <v>42</v>
      </c>
      <c r="S157" s="3" t="s">
        <v>584</v>
      </c>
      <c r="T157" s="3">
        <v>5755183072737</v>
      </c>
      <c r="U157" s="3">
        <v>456</v>
      </c>
      <c r="V157" s="3" t="s">
        <v>585</v>
      </c>
      <c r="W157" s="3">
        <v>0.05</v>
      </c>
      <c r="X157" s="3">
        <v>10.9848909</v>
      </c>
      <c r="Y157" s="3">
        <v>76.9644203</v>
      </c>
      <c r="Z157" s="3">
        <v>9080911740</v>
      </c>
    </row>
    <row r="158" spans="1:26" ht="15" hidden="1" customHeight="1" x14ac:dyDescent="0.25">
      <c r="A158" s="3" t="s">
        <v>586</v>
      </c>
      <c r="B158" s="3">
        <f>COUNTIFS(Sheet1!B:B,'Entities table_CCMS Panel View'!A158)</f>
        <v>1</v>
      </c>
      <c r="C158" s="3" t="s">
        <v>26</v>
      </c>
      <c r="D158" s="3" t="s">
        <v>27</v>
      </c>
      <c r="E158" s="3" t="s">
        <v>357</v>
      </c>
      <c r="F158" s="3">
        <v>237.19</v>
      </c>
      <c r="G158" s="3">
        <v>0</v>
      </c>
      <c r="H158" s="3">
        <v>0</v>
      </c>
      <c r="I158" s="3">
        <v>0.05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1"/>
      <c r="P158" s="3" t="s">
        <v>29</v>
      </c>
      <c r="Q158" s="3" t="s">
        <v>30</v>
      </c>
      <c r="R158" s="3" t="s">
        <v>42</v>
      </c>
      <c r="S158" s="3" t="s">
        <v>587</v>
      </c>
      <c r="T158" s="3">
        <v>5755183013609</v>
      </c>
      <c r="U158" s="3" t="s">
        <v>588</v>
      </c>
      <c r="V158" s="3" t="s">
        <v>589</v>
      </c>
      <c r="W158" s="3">
        <v>0.04</v>
      </c>
      <c r="X158" s="3">
        <v>10.9752498</v>
      </c>
      <c r="Y158" s="3">
        <v>76.963091000000006</v>
      </c>
      <c r="Z158" s="3">
        <v>8667099217</v>
      </c>
    </row>
    <row r="159" spans="1:26" ht="15" customHeight="1" x14ac:dyDescent="0.25">
      <c r="A159" s="3" t="s">
        <v>590</v>
      </c>
      <c r="B159" s="3">
        <f>COUNTIFS(Sheet1!B:B,'Entities table_CCMS Panel View'!A159)</f>
        <v>0</v>
      </c>
      <c r="C159" s="3" t="s">
        <v>26</v>
      </c>
      <c r="D159" s="3" t="s">
        <v>27</v>
      </c>
      <c r="E159" s="3" t="s">
        <v>64</v>
      </c>
      <c r="F159" s="3">
        <v>222.72</v>
      </c>
      <c r="G159" s="3">
        <v>0</v>
      </c>
      <c r="H159" s="3">
        <v>0</v>
      </c>
      <c r="I159" s="3">
        <v>0.05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 t="s">
        <v>48</v>
      </c>
      <c r="P159" s="3" t="s">
        <v>29</v>
      </c>
      <c r="Q159" s="3" t="s">
        <v>30</v>
      </c>
      <c r="R159" s="3" t="s">
        <v>31</v>
      </c>
      <c r="S159" s="3" t="s">
        <v>591</v>
      </c>
      <c r="T159" s="3">
        <v>5755183070233</v>
      </c>
      <c r="U159" s="3">
        <v>602</v>
      </c>
      <c r="V159" s="3" t="s">
        <v>592</v>
      </c>
      <c r="W159" s="3">
        <v>0.05</v>
      </c>
      <c r="X159" s="3">
        <v>10.9923381</v>
      </c>
      <c r="Y159" s="3">
        <v>76.932199800000006</v>
      </c>
      <c r="Z159" s="3">
        <v>9080911740</v>
      </c>
    </row>
    <row r="160" spans="1:26" ht="15" hidden="1" customHeight="1" x14ac:dyDescent="0.25">
      <c r="A160" s="3" t="s">
        <v>593</v>
      </c>
      <c r="B160" s="3">
        <f>COUNTIFS(Sheet1!B:B,'Entities table_CCMS Panel View'!A160)</f>
        <v>1</v>
      </c>
      <c r="C160" s="3" t="s">
        <v>26</v>
      </c>
      <c r="D160" s="3" t="s">
        <v>27</v>
      </c>
      <c r="E160" s="3" t="s">
        <v>89</v>
      </c>
      <c r="F160" s="3">
        <v>229.17</v>
      </c>
      <c r="G160" s="3">
        <v>0</v>
      </c>
      <c r="H160" s="3">
        <v>0</v>
      </c>
      <c r="I160" s="3">
        <v>0.05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 t="s">
        <v>48</v>
      </c>
      <c r="P160" s="3" t="s">
        <v>29</v>
      </c>
      <c r="Q160" s="3" t="s">
        <v>30</v>
      </c>
      <c r="R160" s="3" t="s">
        <v>60</v>
      </c>
      <c r="S160" s="3" t="s">
        <v>594</v>
      </c>
      <c r="T160" s="3">
        <v>5755183013474</v>
      </c>
      <c r="U160" s="3">
        <v>1002</v>
      </c>
      <c r="V160" s="3" t="s">
        <v>595</v>
      </c>
      <c r="W160" s="3">
        <v>0.05</v>
      </c>
      <c r="X160" s="3">
        <v>10.9964034</v>
      </c>
      <c r="Y160" s="3">
        <v>76.939784200000005</v>
      </c>
      <c r="Z160" s="3">
        <v>9677553379</v>
      </c>
    </row>
    <row r="161" spans="1:26" ht="15" hidden="1" customHeight="1" x14ac:dyDescent="0.25">
      <c r="A161" s="3" t="s">
        <v>596</v>
      </c>
      <c r="B161" s="3">
        <f>COUNTIFS(Sheet1!B:B,'Entities table_CCMS Panel View'!A161)</f>
        <v>1</v>
      </c>
      <c r="C161" s="3" t="s">
        <v>26</v>
      </c>
      <c r="D161" s="3" t="s">
        <v>27</v>
      </c>
      <c r="E161" s="3" t="s">
        <v>28</v>
      </c>
      <c r="F161" s="3">
        <v>223.36</v>
      </c>
      <c r="G161" s="3">
        <v>0</v>
      </c>
      <c r="H161" s="3">
        <v>0</v>
      </c>
      <c r="I161" s="3">
        <v>0.05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1"/>
      <c r="P161" s="3" t="s">
        <v>29</v>
      </c>
      <c r="Q161" s="3" t="s">
        <v>30</v>
      </c>
      <c r="R161" s="3" t="s">
        <v>31</v>
      </c>
      <c r="S161" s="3" t="s">
        <v>597</v>
      </c>
      <c r="T161" s="3">
        <v>5755183072198</v>
      </c>
      <c r="U161" s="3">
        <v>3121</v>
      </c>
      <c r="V161" s="3" t="s">
        <v>598</v>
      </c>
      <c r="W161" s="3">
        <v>0.05</v>
      </c>
      <c r="X161" s="3">
        <v>10.9915191</v>
      </c>
      <c r="Y161" s="3">
        <v>76.9275564</v>
      </c>
      <c r="Z161" s="3">
        <v>9080911740</v>
      </c>
    </row>
    <row r="162" spans="1:26" ht="15" hidden="1" customHeight="1" x14ac:dyDescent="0.25">
      <c r="A162" s="3" t="s">
        <v>599</v>
      </c>
      <c r="B162" s="3">
        <f>COUNTIFS(Sheet1!B:B,'Entities table_CCMS Panel View'!A162)</f>
        <v>1</v>
      </c>
      <c r="C162" s="3" t="s">
        <v>26</v>
      </c>
      <c r="D162" s="3" t="s">
        <v>27</v>
      </c>
      <c r="E162" s="3" t="s">
        <v>600</v>
      </c>
      <c r="F162" s="3">
        <v>223.73</v>
      </c>
      <c r="G162" s="3">
        <v>0</v>
      </c>
      <c r="H162" s="3">
        <v>0</v>
      </c>
      <c r="I162" s="3">
        <v>0.06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1"/>
      <c r="P162" s="3" t="s">
        <v>29</v>
      </c>
      <c r="Q162" s="3" t="s">
        <v>30</v>
      </c>
      <c r="R162" s="3" t="s">
        <v>31</v>
      </c>
      <c r="S162" s="3" t="s">
        <v>601</v>
      </c>
      <c r="T162" s="3">
        <v>5755183060435</v>
      </c>
      <c r="U162" s="3">
        <v>1122</v>
      </c>
      <c r="V162" s="3" t="s">
        <v>602</v>
      </c>
      <c r="W162" s="3">
        <v>7.0000000000000007E-2</v>
      </c>
      <c r="X162" s="3">
        <v>10.9927574</v>
      </c>
      <c r="Y162" s="3">
        <v>76.926193400000002</v>
      </c>
      <c r="Z162" s="3">
        <v>9080911740</v>
      </c>
    </row>
    <row r="163" spans="1:26" ht="15" hidden="1" customHeight="1" x14ac:dyDescent="0.25">
      <c r="A163" s="3" t="s">
        <v>603</v>
      </c>
      <c r="B163" s="3">
        <f>COUNTIFS(Sheet1!B:B,'Entities table_CCMS Panel View'!A163)</f>
        <v>1</v>
      </c>
      <c r="C163" s="3" t="s">
        <v>26</v>
      </c>
      <c r="D163" s="3" t="s">
        <v>27</v>
      </c>
      <c r="E163" s="3" t="s">
        <v>64</v>
      </c>
      <c r="F163" s="3">
        <v>234.33</v>
      </c>
      <c r="G163" s="3">
        <v>0</v>
      </c>
      <c r="H163" s="3">
        <v>0</v>
      </c>
      <c r="I163" s="3">
        <v>0.05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1"/>
      <c r="P163" s="3" t="s">
        <v>29</v>
      </c>
      <c r="Q163" s="3" t="s">
        <v>30</v>
      </c>
      <c r="R163" s="3" t="s">
        <v>42</v>
      </c>
      <c r="S163" s="3" t="s">
        <v>604</v>
      </c>
      <c r="T163" s="3">
        <v>5755183068243</v>
      </c>
      <c r="U163" s="3">
        <v>2274</v>
      </c>
      <c r="V163" s="3" t="s">
        <v>605</v>
      </c>
      <c r="W163" s="3">
        <v>0.05</v>
      </c>
      <c r="X163" s="3">
        <v>10.976185299999999</v>
      </c>
      <c r="Y163" s="3">
        <v>76.9629075</v>
      </c>
      <c r="Z163" s="3">
        <v>9677553379</v>
      </c>
    </row>
    <row r="164" spans="1:26" ht="15" hidden="1" customHeight="1" x14ac:dyDescent="0.25">
      <c r="A164" s="3" t="s">
        <v>606</v>
      </c>
      <c r="B164" s="3">
        <f>COUNTIFS(Sheet1!B:B,'Entities table_CCMS Panel View'!A164)</f>
        <v>1</v>
      </c>
      <c r="C164" s="3" t="s">
        <v>26</v>
      </c>
      <c r="D164" s="3" t="s">
        <v>27</v>
      </c>
      <c r="E164" s="3" t="s">
        <v>113</v>
      </c>
      <c r="F164" s="3">
        <v>228.11</v>
      </c>
      <c r="G164" s="3">
        <v>0</v>
      </c>
      <c r="H164" s="3">
        <v>0</v>
      </c>
      <c r="I164" s="3">
        <v>0.05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1"/>
      <c r="P164" s="3" t="s">
        <v>29</v>
      </c>
      <c r="Q164" s="3" t="s">
        <v>30</v>
      </c>
      <c r="R164" s="3" t="s">
        <v>42</v>
      </c>
      <c r="S164" s="3" t="s">
        <v>607</v>
      </c>
      <c r="T164" s="3">
        <v>5755183013502</v>
      </c>
      <c r="U164" s="3">
        <v>4757</v>
      </c>
      <c r="V164" s="3" t="s">
        <v>608</v>
      </c>
      <c r="W164" s="3">
        <v>0.06</v>
      </c>
      <c r="X164" s="3">
        <v>10.981724</v>
      </c>
      <c r="Y164" s="3">
        <v>76.970178099999998</v>
      </c>
      <c r="Z164" s="3">
        <v>9080911740</v>
      </c>
    </row>
    <row r="165" spans="1:26" ht="15" hidden="1" customHeight="1" x14ac:dyDescent="0.25">
      <c r="A165" s="3" t="s">
        <v>609</v>
      </c>
      <c r="B165" s="3">
        <f>COUNTIFS(Sheet1!B:B,'Entities table_CCMS Panel View'!A165)</f>
        <v>1</v>
      </c>
      <c r="C165" s="3" t="s">
        <v>26</v>
      </c>
      <c r="D165" s="3" t="s">
        <v>27</v>
      </c>
      <c r="E165" s="3" t="s">
        <v>89</v>
      </c>
      <c r="F165" s="3">
        <v>225.05</v>
      </c>
      <c r="G165" s="3">
        <v>0</v>
      </c>
      <c r="H165" s="3">
        <v>0</v>
      </c>
      <c r="I165" s="3">
        <v>0.05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1"/>
      <c r="P165" s="3" t="s">
        <v>29</v>
      </c>
      <c r="Q165" s="3" t="s">
        <v>30</v>
      </c>
      <c r="R165" s="3" t="s">
        <v>60</v>
      </c>
      <c r="S165" s="3" t="s">
        <v>610</v>
      </c>
      <c r="T165" s="3">
        <v>5755183073125</v>
      </c>
      <c r="U165" s="3">
        <v>1241</v>
      </c>
      <c r="V165" s="3" t="s">
        <v>611</v>
      </c>
      <c r="W165" s="3">
        <v>0.05</v>
      </c>
      <c r="X165" s="3">
        <v>10.998080099999999</v>
      </c>
      <c r="Y165" s="3">
        <v>76.946077599999995</v>
      </c>
      <c r="Z165" s="3">
        <v>8667729030</v>
      </c>
    </row>
    <row r="166" spans="1:26" ht="15" hidden="1" customHeight="1" x14ac:dyDescent="0.25">
      <c r="A166" s="3" t="s">
        <v>612</v>
      </c>
      <c r="B166" s="3">
        <f>COUNTIFS(Sheet1!B:B,'Entities table_CCMS Panel View'!A166)</f>
        <v>1</v>
      </c>
      <c r="C166" s="3" t="s">
        <v>26</v>
      </c>
      <c r="D166" s="3" t="s">
        <v>27</v>
      </c>
      <c r="E166" s="3" t="s">
        <v>113</v>
      </c>
      <c r="F166" s="3">
        <v>221.81</v>
      </c>
      <c r="G166" s="3">
        <v>0</v>
      </c>
      <c r="H166" s="3">
        <v>0</v>
      </c>
      <c r="I166" s="3">
        <v>0.05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1"/>
      <c r="P166" s="3" t="s">
        <v>29</v>
      </c>
      <c r="Q166" s="3" t="s">
        <v>30</v>
      </c>
      <c r="R166" s="3" t="s">
        <v>31</v>
      </c>
      <c r="S166" s="3" t="s">
        <v>613</v>
      </c>
      <c r="T166" s="3">
        <v>5755183068249</v>
      </c>
      <c r="U166" s="3">
        <v>888</v>
      </c>
      <c r="V166" s="3" t="s">
        <v>614</v>
      </c>
      <c r="W166" s="3">
        <v>0.05</v>
      </c>
      <c r="X166" s="3">
        <v>10.9940146</v>
      </c>
      <c r="Y166" s="3">
        <v>76.932589899999996</v>
      </c>
      <c r="Z166" s="3">
        <v>9080911740</v>
      </c>
    </row>
    <row r="167" spans="1:26" ht="15" customHeight="1" x14ac:dyDescent="0.25">
      <c r="A167" s="3" t="s">
        <v>615</v>
      </c>
      <c r="B167" s="3">
        <f>COUNTIFS(Sheet1!B:B,'Entities table_CCMS Panel View'!A167)</f>
        <v>0</v>
      </c>
      <c r="C167" s="3" t="s">
        <v>26</v>
      </c>
      <c r="D167" s="3" t="s">
        <v>27</v>
      </c>
      <c r="E167" s="3" t="s">
        <v>80</v>
      </c>
      <c r="F167" s="3">
        <v>225.93</v>
      </c>
      <c r="G167" s="3">
        <v>0</v>
      </c>
      <c r="H167" s="3">
        <v>0</v>
      </c>
      <c r="I167" s="3">
        <v>0.05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 t="s">
        <v>48</v>
      </c>
      <c r="P167" s="3" t="s">
        <v>29</v>
      </c>
      <c r="Q167" s="3" t="s">
        <v>30</v>
      </c>
      <c r="R167" s="3" t="s">
        <v>42</v>
      </c>
      <c r="S167" s="3" t="s">
        <v>616</v>
      </c>
      <c r="T167" s="3">
        <v>5755183128474</v>
      </c>
      <c r="U167" s="3">
        <v>1456</v>
      </c>
      <c r="V167" s="3" t="s">
        <v>617</v>
      </c>
      <c r="W167" s="3">
        <v>0.05</v>
      </c>
      <c r="X167" s="3">
        <v>10.9755574</v>
      </c>
      <c r="Y167" s="3">
        <v>76.961641799999995</v>
      </c>
      <c r="Z167" s="3">
        <v>9080911740</v>
      </c>
    </row>
    <row r="168" spans="1:26" ht="15" customHeight="1" x14ac:dyDescent="0.25">
      <c r="A168" s="3" t="s">
        <v>618</v>
      </c>
      <c r="B168" s="3">
        <f>COUNTIFS(Sheet1!B:B,'Entities table_CCMS Panel View'!A168)</f>
        <v>0</v>
      </c>
      <c r="C168" s="3" t="s">
        <v>26</v>
      </c>
      <c r="D168" s="3" t="s">
        <v>27</v>
      </c>
      <c r="E168" s="3" t="s">
        <v>619</v>
      </c>
      <c r="F168" s="3">
        <v>224.45</v>
      </c>
      <c r="G168" s="3">
        <v>0</v>
      </c>
      <c r="H168" s="3">
        <v>0</v>
      </c>
      <c r="I168" s="3">
        <v>0.04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 t="s">
        <v>48</v>
      </c>
      <c r="P168" s="3" t="s">
        <v>29</v>
      </c>
      <c r="Q168" s="3" t="s">
        <v>30</v>
      </c>
      <c r="R168" s="3" t="s">
        <v>108</v>
      </c>
      <c r="S168" s="3" t="s">
        <v>620</v>
      </c>
      <c r="T168" s="3">
        <v>5755183072574</v>
      </c>
      <c r="U168" s="3">
        <v>1366</v>
      </c>
      <c r="V168" s="3" t="s">
        <v>621</v>
      </c>
      <c r="W168" s="3">
        <v>0.04</v>
      </c>
      <c r="X168" s="3">
        <v>10.983639500000001</v>
      </c>
      <c r="Y168" s="3">
        <v>76.938023999999999</v>
      </c>
      <c r="Z168" s="3">
        <v>8667729030</v>
      </c>
    </row>
    <row r="169" spans="1:26" ht="15" customHeight="1" x14ac:dyDescent="0.25">
      <c r="A169" s="3" t="s">
        <v>622</v>
      </c>
      <c r="B169" s="3">
        <f>COUNTIFS(Sheet1!B:B,'Entities table_CCMS Panel View'!A169)</f>
        <v>0</v>
      </c>
      <c r="C169" s="3" t="s">
        <v>26</v>
      </c>
      <c r="D169" s="3" t="s">
        <v>27</v>
      </c>
      <c r="E169" s="3" t="s">
        <v>623</v>
      </c>
      <c r="F169" s="3">
        <v>185.28</v>
      </c>
      <c r="G169" s="3">
        <v>0</v>
      </c>
      <c r="H169" s="3">
        <v>0</v>
      </c>
      <c r="I169" s="3">
        <v>0.05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1"/>
      <c r="P169" s="3" t="s">
        <v>29</v>
      </c>
      <c r="Q169" s="3" t="s">
        <v>30</v>
      </c>
      <c r="R169" s="3" t="s">
        <v>31</v>
      </c>
      <c r="S169" s="3" t="s">
        <v>624</v>
      </c>
      <c r="T169" s="3">
        <v>5755183044827</v>
      </c>
      <c r="U169" s="3">
        <v>3127</v>
      </c>
      <c r="V169" s="3" t="s">
        <v>625</v>
      </c>
      <c r="W169" s="3">
        <v>0.05</v>
      </c>
      <c r="X169" s="3">
        <v>10.99089</v>
      </c>
      <c r="Y169" s="3">
        <v>76.926674000000006</v>
      </c>
      <c r="Z169" s="3">
        <v>9677553379</v>
      </c>
    </row>
    <row r="170" spans="1:26" ht="15" hidden="1" customHeight="1" x14ac:dyDescent="0.25">
      <c r="A170" s="3" t="s">
        <v>626</v>
      </c>
      <c r="B170" s="3">
        <f>COUNTIFS(Sheet1!B:B,'Entities table_CCMS Panel View'!A170)</f>
        <v>1</v>
      </c>
      <c r="C170" s="3" t="s">
        <v>26</v>
      </c>
      <c r="D170" s="3" t="s">
        <v>27</v>
      </c>
      <c r="E170" s="3" t="s">
        <v>80</v>
      </c>
      <c r="F170" s="3">
        <v>214</v>
      </c>
      <c r="G170" s="3">
        <v>0</v>
      </c>
      <c r="H170" s="3">
        <v>0</v>
      </c>
      <c r="I170" s="3">
        <v>0.05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 t="s">
        <v>48</v>
      </c>
      <c r="P170" s="3" t="s">
        <v>29</v>
      </c>
      <c r="Q170" s="3" t="s">
        <v>30</v>
      </c>
      <c r="R170" s="3" t="s">
        <v>108</v>
      </c>
      <c r="S170" s="3" t="s">
        <v>627</v>
      </c>
      <c r="T170" s="3">
        <v>5755183072753</v>
      </c>
      <c r="U170" s="3">
        <v>135</v>
      </c>
      <c r="V170" s="3" t="s">
        <v>628</v>
      </c>
      <c r="W170" s="3">
        <v>0.05</v>
      </c>
      <c r="X170" s="3">
        <v>10.9866344</v>
      </c>
      <c r="Y170" s="3">
        <v>76.938930600000006</v>
      </c>
      <c r="Z170" s="3">
        <v>8667729030</v>
      </c>
    </row>
    <row r="171" spans="1:26" ht="15" hidden="1" customHeight="1" x14ac:dyDescent="0.25">
      <c r="A171" s="3" t="s">
        <v>629</v>
      </c>
      <c r="B171" s="3">
        <f>COUNTIFS(Sheet1!B:B,'Entities table_CCMS Panel View'!A171)</f>
        <v>1</v>
      </c>
      <c r="C171" s="3" t="s">
        <v>26</v>
      </c>
      <c r="D171" s="3" t="s">
        <v>27</v>
      </c>
      <c r="E171" s="3" t="s">
        <v>72</v>
      </c>
      <c r="F171" s="3">
        <v>221.29</v>
      </c>
      <c r="G171" s="3">
        <v>0</v>
      </c>
      <c r="H171" s="3">
        <v>0</v>
      </c>
      <c r="I171" s="3">
        <v>0.05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1"/>
      <c r="P171" s="3" t="s">
        <v>29</v>
      </c>
      <c r="Q171" s="3" t="s">
        <v>30</v>
      </c>
      <c r="R171" s="3" t="s">
        <v>60</v>
      </c>
      <c r="S171" s="3" t="s">
        <v>630</v>
      </c>
      <c r="T171" s="3">
        <v>5755183012714</v>
      </c>
      <c r="U171" s="3">
        <v>393</v>
      </c>
      <c r="V171" s="3" t="s">
        <v>631</v>
      </c>
      <c r="W171" s="3">
        <v>0.06</v>
      </c>
      <c r="X171" s="3">
        <v>10.9966285</v>
      </c>
      <c r="Y171" s="3">
        <v>76.9410946</v>
      </c>
      <c r="Z171" s="3">
        <v>9677553379</v>
      </c>
    </row>
    <row r="172" spans="1:26" ht="15" hidden="1" customHeight="1" x14ac:dyDescent="0.25">
      <c r="A172" s="3" t="s">
        <v>632</v>
      </c>
      <c r="B172" s="3">
        <f>COUNTIFS(Sheet1!B:B,'Entities table_CCMS Panel View'!A172)</f>
        <v>1</v>
      </c>
      <c r="C172" s="3" t="s">
        <v>26</v>
      </c>
      <c r="D172" s="3" t="s">
        <v>27</v>
      </c>
      <c r="E172" s="3" t="s">
        <v>113</v>
      </c>
      <c r="F172" s="3">
        <v>217.5</v>
      </c>
      <c r="G172" s="3">
        <v>0</v>
      </c>
      <c r="H172" s="3">
        <v>0</v>
      </c>
      <c r="I172" s="3">
        <v>0.06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1"/>
      <c r="P172" s="3" t="s">
        <v>29</v>
      </c>
      <c r="Q172" s="3" t="s">
        <v>30</v>
      </c>
      <c r="R172" s="3" t="s">
        <v>60</v>
      </c>
      <c r="S172" s="3" t="s">
        <v>633</v>
      </c>
      <c r="T172" s="3">
        <v>5755183073062</v>
      </c>
      <c r="U172" s="3">
        <v>448</v>
      </c>
      <c r="V172" s="3" t="s">
        <v>634</v>
      </c>
      <c r="W172" s="3">
        <v>0.06</v>
      </c>
      <c r="X172" s="3" t="s">
        <v>635</v>
      </c>
      <c r="Y172" s="3">
        <v>76.940600000000003</v>
      </c>
      <c r="Z172" s="3">
        <v>9677553379</v>
      </c>
    </row>
    <row r="173" spans="1:26" ht="15" hidden="1" customHeight="1" x14ac:dyDescent="0.25">
      <c r="A173" s="3" t="s">
        <v>636</v>
      </c>
      <c r="B173" s="3">
        <f>COUNTIFS(Sheet1!B:B,'Entities table_CCMS Panel View'!A173)</f>
        <v>1</v>
      </c>
      <c r="C173" s="3" t="s">
        <v>26</v>
      </c>
      <c r="D173" s="3" t="s">
        <v>27</v>
      </c>
      <c r="E173" s="3" t="s">
        <v>80</v>
      </c>
      <c r="F173" s="3">
        <v>222.54</v>
      </c>
      <c r="G173" s="3">
        <v>0</v>
      </c>
      <c r="H173" s="3">
        <v>0</v>
      </c>
      <c r="I173" s="3">
        <v>0.05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1"/>
      <c r="P173" s="3" t="s">
        <v>29</v>
      </c>
      <c r="Q173" s="3" t="s">
        <v>30</v>
      </c>
      <c r="R173" s="3" t="s">
        <v>31</v>
      </c>
      <c r="S173" s="3" t="s">
        <v>637</v>
      </c>
      <c r="T173" s="3">
        <v>5755183073133</v>
      </c>
      <c r="U173" s="3">
        <v>889</v>
      </c>
      <c r="V173" s="3" t="s">
        <v>638</v>
      </c>
      <c r="W173" s="3">
        <v>0.05</v>
      </c>
      <c r="X173" s="3">
        <v>10.9942159</v>
      </c>
      <c r="Y173" s="3">
        <v>76.933438100000004</v>
      </c>
      <c r="Z173" s="3">
        <v>9080911740</v>
      </c>
    </row>
    <row r="174" spans="1:26" ht="15" hidden="1" customHeight="1" x14ac:dyDescent="0.25">
      <c r="A174" s="3" t="s">
        <v>639</v>
      </c>
      <c r="B174" s="3">
        <f>COUNTIFS(Sheet1!B:B,'Entities table_CCMS Panel View'!A174)</f>
        <v>1</v>
      </c>
      <c r="C174" s="3" t="s">
        <v>26</v>
      </c>
      <c r="D174" s="3" t="s">
        <v>27</v>
      </c>
      <c r="E174" s="3" t="s">
        <v>64</v>
      </c>
      <c r="F174" s="3">
        <v>224.39</v>
      </c>
      <c r="G174" s="3">
        <v>0</v>
      </c>
      <c r="H174" s="3">
        <v>0</v>
      </c>
      <c r="I174" s="3">
        <v>0.06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1"/>
      <c r="P174" s="3" t="s">
        <v>29</v>
      </c>
      <c r="Q174" s="3" t="s">
        <v>30</v>
      </c>
      <c r="R174" s="3" t="s">
        <v>31</v>
      </c>
      <c r="S174" s="3" t="s">
        <v>640</v>
      </c>
      <c r="T174" s="3">
        <v>5755183068780</v>
      </c>
      <c r="U174" s="3">
        <v>2055</v>
      </c>
      <c r="V174" s="3" t="s">
        <v>641</v>
      </c>
      <c r="W174" s="3">
        <v>0.06</v>
      </c>
      <c r="X174" s="3">
        <v>10.9894354</v>
      </c>
      <c r="Y174" s="3">
        <v>76.935468799999995</v>
      </c>
      <c r="Z174" s="3">
        <v>8667729030</v>
      </c>
    </row>
    <row r="175" spans="1:26" ht="15" hidden="1" customHeight="1" x14ac:dyDescent="0.25">
      <c r="A175" s="3" t="s">
        <v>642</v>
      </c>
      <c r="B175" s="3">
        <f>COUNTIFS(Sheet1!B:B,'Entities table_CCMS Panel View'!A175)</f>
        <v>1</v>
      </c>
      <c r="C175" s="3" t="s">
        <v>26</v>
      </c>
      <c r="D175" s="3" t="s">
        <v>27</v>
      </c>
      <c r="E175" s="3" t="s">
        <v>107</v>
      </c>
      <c r="F175" s="3">
        <v>231.94</v>
      </c>
      <c r="G175" s="3">
        <v>0</v>
      </c>
      <c r="H175" s="3">
        <v>0</v>
      </c>
      <c r="I175" s="3">
        <v>0.05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1"/>
      <c r="P175" s="3" t="s">
        <v>29</v>
      </c>
      <c r="Q175" s="3" t="s">
        <v>30</v>
      </c>
      <c r="R175" s="3" t="s">
        <v>42</v>
      </c>
      <c r="S175" s="3" t="s">
        <v>643</v>
      </c>
      <c r="T175" s="3">
        <v>5755183072345</v>
      </c>
      <c r="U175" s="3">
        <v>1792</v>
      </c>
      <c r="V175" s="3" t="s">
        <v>644</v>
      </c>
      <c r="W175" s="3">
        <v>0.05</v>
      </c>
      <c r="X175" s="3">
        <v>10.9776211</v>
      </c>
      <c r="Y175" s="3">
        <v>76.964305499999995</v>
      </c>
      <c r="Z175" s="3">
        <v>9080911740</v>
      </c>
    </row>
    <row r="176" spans="1:26" ht="15" hidden="1" customHeight="1" x14ac:dyDescent="0.25">
      <c r="A176" s="3" t="s">
        <v>645</v>
      </c>
      <c r="B176" s="3">
        <f>COUNTIFS(Sheet1!B:B,'Entities table_CCMS Panel View'!A176)</f>
        <v>1</v>
      </c>
      <c r="C176" s="3" t="s">
        <v>26</v>
      </c>
      <c r="D176" s="3" t="s">
        <v>27</v>
      </c>
      <c r="E176" s="3" t="s">
        <v>72</v>
      </c>
      <c r="F176" s="3">
        <v>231.47</v>
      </c>
      <c r="G176" s="3">
        <v>0</v>
      </c>
      <c r="H176" s="3">
        <v>0</v>
      </c>
      <c r="I176" s="3">
        <v>0.06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1"/>
      <c r="P176" s="3" t="s">
        <v>29</v>
      </c>
      <c r="Q176" s="3" t="s">
        <v>30</v>
      </c>
      <c r="R176" s="3" t="s">
        <v>42</v>
      </c>
      <c r="S176" s="3" t="s">
        <v>646</v>
      </c>
      <c r="T176" s="3">
        <v>5755183072746</v>
      </c>
      <c r="U176" s="3">
        <v>2151</v>
      </c>
      <c r="V176" s="3" t="s">
        <v>647</v>
      </c>
      <c r="W176" s="3">
        <v>0.06</v>
      </c>
      <c r="X176" s="3">
        <v>10.9819855</v>
      </c>
      <c r="Y176" s="3">
        <v>76.964464100000001</v>
      </c>
      <c r="Z176" s="3">
        <v>9080911740</v>
      </c>
    </row>
    <row r="177" spans="1:26" ht="15" hidden="1" customHeight="1" x14ac:dyDescent="0.25">
      <c r="A177" s="3" t="s">
        <v>648</v>
      </c>
      <c r="B177" s="3">
        <f>COUNTIFS(Sheet1!B:B,'Entities table_CCMS Panel View'!A177)</f>
        <v>1</v>
      </c>
      <c r="C177" s="3" t="s">
        <v>26</v>
      </c>
      <c r="D177" s="3" t="s">
        <v>27</v>
      </c>
      <c r="E177" s="3" t="s">
        <v>649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 t="s">
        <v>163</v>
      </c>
      <c r="P177" s="3" t="s">
        <v>29</v>
      </c>
      <c r="Q177" s="3" t="s">
        <v>30</v>
      </c>
      <c r="R177" s="3" t="s">
        <v>108</v>
      </c>
      <c r="S177" s="3" t="s">
        <v>650</v>
      </c>
      <c r="T177" s="3">
        <v>5755183068713</v>
      </c>
      <c r="U177" s="3">
        <v>1376</v>
      </c>
      <c r="V177" s="3" t="s">
        <v>651</v>
      </c>
      <c r="W177" s="3">
        <v>0</v>
      </c>
      <c r="X177" s="3">
        <v>11.0128164</v>
      </c>
      <c r="Y177" s="3">
        <v>76.940372400000001</v>
      </c>
      <c r="Z177" s="3">
        <v>8667729030</v>
      </c>
    </row>
    <row r="178" spans="1:26" ht="15" customHeight="1" x14ac:dyDescent="0.25">
      <c r="A178" s="3" t="s">
        <v>652</v>
      </c>
      <c r="B178" s="3">
        <f>COUNTIFS(Sheet1!B:B,'Entities table_CCMS Panel View'!A178)</f>
        <v>0</v>
      </c>
      <c r="C178" s="3" t="s">
        <v>26</v>
      </c>
      <c r="D178" s="3" t="s">
        <v>27</v>
      </c>
      <c r="E178" s="3" t="s">
        <v>80</v>
      </c>
      <c r="F178" s="3">
        <v>219.73</v>
      </c>
      <c r="G178" s="3">
        <v>0</v>
      </c>
      <c r="H178" s="3">
        <v>0</v>
      </c>
      <c r="I178" s="3">
        <v>0.05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1"/>
      <c r="P178" s="3" t="s">
        <v>29</v>
      </c>
      <c r="Q178" s="3" t="s">
        <v>30</v>
      </c>
      <c r="R178" s="3" t="s">
        <v>37</v>
      </c>
      <c r="S178" s="3" t="s">
        <v>653</v>
      </c>
      <c r="T178" s="3">
        <v>5755183072819</v>
      </c>
      <c r="U178" s="3">
        <v>1085</v>
      </c>
      <c r="V178" s="3" t="s">
        <v>654</v>
      </c>
      <c r="W178" s="3">
        <v>0.04</v>
      </c>
      <c r="X178" s="3">
        <v>10.9901289</v>
      </c>
      <c r="Y178" s="3">
        <v>76.937488999999999</v>
      </c>
      <c r="Z178" s="3">
        <v>8667729030</v>
      </c>
    </row>
    <row r="179" spans="1:26" ht="15" hidden="1" customHeight="1" x14ac:dyDescent="0.25">
      <c r="A179" s="3" t="s">
        <v>655</v>
      </c>
      <c r="B179" s="3">
        <f>COUNTIFS(Sheet1!B:B,'Entities table_CCMS Panel View'!A179)</f>
        <v>1</v>
      </c>
      <c r="C179" s="3" t="s">
        <v>26</v>
      </c>
      <c r="D179" s="3" t="s">
        <v>27</v>
      </c>
      <c r="E179" s="3" t="s">
        <v>324</v>
      </c>
      <c r="F179" s="3">
        <v>225.89</v>
      </c>
      <c r="G179" s="3">
        <v>0</v>
      </c>
      <c r="H179" s="3">
        <v>0</v>
      </c>
      <c r="I179" s="3">
        <v>0.05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1"/>
      <c r="P179" s="3" t="s">
        <v>29</v>
      </c>
      <c r="Q179" s="3" t="s">
        <v>30</v>
      </c>
      <c r="R179" s="3" t="s">
        <v>42</v>
      </c>
      <c r="S179" s="3" t="s">
        <v>656</v>
      </c>
      <c r="T179" s="3">
        <v>5755183068863</v>
      </c>
      <c r="U179" s="3">
        <v>1799</v>
      </c>
      <c r="V179" s="3" t="s">
        <v>657</v>
      </c>
      <c r="W179" s="3">
        <v>0.05</v>
      </c>
      <c r="X179" s="3">
        <v>10.986309500000001</v>
      </c>
      <c r="Y179" s="3">
        <v>77.001232700000003</v>
      </c>
      <c r="Z179" s="3">
        <v>8248404741</v>
      </c>
    </row>
    <row r="180" spans="1:26" ht="15" hidden="1" customHeight="1" x14ac:dyDescent="0.25">
      <c r="A180" s="3" t="s">
        <v>658</v>
      </c>
      <c r="B180" s="3">
        <f>COUNTIFS(Sheet1!B:B,'Entities table_CCMS Panel View'!A180)</f>
        <v>1</v>
      </c>
      <c r="C180" s="3" t="s">
        <v>26</v>
      </c>
      <c r="D180" s="3" t="s">
        <v>27</v>
      </c>
      <c r="E180" s="3" t="s">
        <v>107</v>
      </c>
      <c r="F180" s="3">
        <v>222.54</v>
      </c>
      <c r="G180" s="3">
        <v>0</v>
      </c>
      <c r="H180" s="3">
        <v>0</v>
      </c>
      <c r="I180" s="3">
        <v>0.06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1"/>
      <c r="P180" s="3" t="s">
        <v>29</v>
      </c>
      <c r="Q180" s="3" t="s">
        <v>30</v>
      </c>
      <c r="R180" s="3" t="s">
        <v>31</v>
      </c>
      <c r="S180" s="3" t="s">
        <v>659</v>
      </c>
      <c r="T180" s="3">
        <v>5755183071048</v>
      </c>
      <c r="U180" s="3">
        <v>777</v>
      </c>
      <c r="V180" s="3" t="s">
        <v>660</v>
      </c>
      <c r="W180" s="3">
        <v>0.06</v>
      </c>
      <c r="X180" s="3">
        <v>10.991460399999999</v>
      </c>
      <c r="Y180" s="3">
        <v>76.933971900000003</v>
      </c>
      <c r="Z180" s="3">
        <v>9080911740</v>
      </c>
    </row>
    <row r="181" spans="1:26" ht="15" hidden="1" customHeight="1" x14ac:dyDescent="0.25">
      <c r="A181" s="3" t="s">
        <v>661</v>
      </c>
      <c r="B181" s="3">
        <f>COUNTIFS(Sheet1!B:B,'Entities table_CCMS Panel View'!A181)</f>
        <v>1</v>
      </c>
      <c r="C181" s="3" t="s">
        <v>26</v>
      </c>
      <c r="D181" s="3" t="s">
        <v>27</v>
      </c>
      <c r="E181" s="3" t="s">
        <v>64</v>
      </c>
      <c r="F181" s="3">
        <v>229.02</v>
      </c>
      <c r="G181" s="3">
        <v>0</v>
      </c>
      <c r="H181" s="3">
        <v>0</v>
      </c>
      <c r="I181" s="3">
        <v>0.05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1"/>
      <c r="P181" s="3" t="s">
        <v>29</v>
      </c>
      <c r="Q181" s="3" t="s">
        <v>30</v>
      </c>
      <c r="R181" s="3" t="s">
        <v>42</v>
      </c>
      <c r="S181" s="3" t="s">
        <v>662</v>
      </c>
      <c r="T181" s="3">
        <v>5755183072743</v>
      </c>
      <c r="U181" s="3">
        <v>2547</v>
      </c>
      <c r="V181" s="3" t="s">
        <v>663</v>
      </c>
      <c r="W181" s="3">
        <v>0.05</v>
      </c>
      <c r="X181" s="3">
        <v>10.981590300000001</v>
      </c>
      <c r="Y181" s="3">
        <v>76.965249400000005</v>
      </c>
      <c r="Z181" s="3">
        <v>9677553379</v>
      </c>
    </row>
    <row r="182" spans="1:26" ht="15" hidden="1" customHeight="1" x14ac:dyDescent="0.25">
      <c r="A182" s="3" t="s">
        <v>664</v>
      </c>
      <c r="B182" s="3">
        <f>COUNTIFS(Sheet1!B:B,'Entities table_CCMS Panel View'!A182)</f>
        <v>1</v>
      </c>
      <c r="C182" s="3" t="s">
        <v>26</v>
      </c>
      <c r="D182" s="3" t="s">
        <v>27</v>
      </c>
      <c r="E182" s="3" t="s">
        <v>113</v>
      </c>
      <c r="F182" s="3">
        <v>223.79</v>
      </c>
      <c r="G182" s="3">
        <v>0</v>
      </c>
      <c r="H182" s="3">
        <v>0</v>
      </c>
      <c r="I182" s="3">
        <v>0.06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1"/>
      <c r="P182" s="3" t="s">
        <v>29</v>
      </c>
      <c r="Q182" s="3" t="s">
        <v>30</v>
      </c>
      <c r="R182" s="3" t="s">
        <v>42</v>
      </c>
      <c r="S182" s="3" t="s">
        <v>665</v>
      </c>
      <c r="T182" s="3">
        <v>5755183072196</v>
      </c>
      <c r="U182" s="3">
        <v>2410</v>
      </c>
      <c r="V182" s="3" t="s">
        <v>666</v>
      </c>
      <c r="W182" s="3">
        <v>0.06</v>
      </c>
      <c r="X182" s="3">
        <v>10.9866539</v>
      </c>
      <c r="Y182" s="3">
        <v>76.963070099999996</v>
      </c>
      <c r="Z182" s="3">
        <v>9677553379</v>
      </c>
    </row>
    <row r="183" spans="1:26" ht="15" hidden="1" customHeight="1" x14ac:dyDescent="0.25">
      <c r="A183" s="3" t="s">
        <v>667</v>
      </c>
      <c r="B183" s="3">
        <f>COUNTIFS(Sheet1!B:B,'Entities table_CCMS Panel View'!A183)</f>
        <v>1</v>
      </c>
      <c r="C183" s="3" t="s">
        <v>26</v>
      </c>
      <c r="D183" s="3" t="s">
        <v>27</v>
      </c>
      <c r="E183" s="3" t="s">
        <v>357</v>
      </c>
      <c r="F183" s="3">
        <v>227.84</v>
      </c>
      <c r="G183" s="3">
        <v>0</v>
      </c>
      <c r="H183" s="3">
        <v>0</v>
      </c>
      <c r="I183" s="3">
        <v>0.05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1"/>
      <c r="P183" s="3" t="s">
        <v>29</v>
      </c>
      <c r="Q183" s="3" t="s">
        <v>30</v>
      </c>
      <c r="R183" s="3" t="s">
        <v>31</v>
      </c>
      <c r="S183" s="3" t="s">
        <v>668</v>
      </c>
      <c r="T183" s="3">
        <v>5755183073176</v>
      </c>
      <c r="U183" s="3">
        <v>443</v>
      </c>
      <c r="V183" s="3" t="s">
        <v>669</v>
      </c>
      <c r="W183" s="3">
        <v>0.05</v>
      </c>
      <c r="X183" s="3">
        <v>10.9848862</v>
      </c>
      <c r="Y183" s="3">
        <v>76.923617899999996</v>
      </c>
      <c r="Z183" s="3">
        <v>8667729030</v>
      </c>
    </row>
    <row r="184" spans="1:26" ht="15" hidden="1" customHeight="1" x14ac:dyDescent="0.25">
      <c r="A184" s="3" t="s">
        <v>670</v>
      </c>
      <c r="B184" s="3">
        <f>COUNTIFS(Sheet1!B:B,'Entities table_CCMS Panel View'!A184)</f>
        <v>1</v>
      </c>
      <c r="C184" s="3" t="s">
        <v>26</v>
      </c>
      <c r="D184" s="3" t="s">
        <v>27</v>
      </c>
      <c r="E184" s="3" t="s">
        <v>64</v>
      </c>
      <c r="F184" s="3">
        <v>207.91</v>
      </c>
      <c r="G184" s="3">
        <v>0</v>
      </c>
      <c r="H184" s="3">
        <v>0</v>
      </c>
      <c r="I184" s="3">
        <v>7.0000000000000007E-2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1"/>
      <c r="P184" s="3" t="s">
        <v>29</v>
      </c>
      <c r="Q184" s="3" t="s">
        <v>30</v>
      </c>
      <c r="R184" s="3" t="s">
        <v>108</v>
      </c>
      <c r="S184" s="3" t="s">
        <v>671</v>
      </c>
      <c r="T184" s="3">
        <v>5755183080923</v>
      </c>
      <c r="U184" s="3">
        <v>58</v>
      </c>
      <c r="V184" s="3" t="s">
        <v>672</v>
      </c>
      <c r="W184" s="3">
        <v>7.0000000000000007E-2</v>
      </c>
      <c r="X184" s="3">
        <v>10.9874603</v>
      </c>
      <c r="Y184" s="3">
        <v>76.9368537</v>
      </c>
      <c r="Z184" s="3">
        <v>8667729030</v>
      </c>
    </row>
    <row r="185" spans="1:26" ht="15" customHeight="1" x14ac:dyDescent="0.25">
      <c r="A185" s="3" t="s">
        <v>673</v>
      </c>
      <c r="B185" s="3">
        <f>COUNTIFS(Sheet1!B:B,'Entities table_CCMS Panel View'!A185)</f>
        <v>0</v>
      </c>
      <c r="C185" s="3" t="s">
        <v>26</v>
      </c>
      <c r="D185" s="3" t="s">
        <v>27</v>
      </c>
      <c r="E185" s="3" t="s">
        <v>80</v>
      </c>
      <c r="F185" s="3">
        <v>223.72</v>
      </c>
      <c r="G185" s="3">
        <v>0</v>
      </c>
      <c r="H185" s="3">
        <v>0</v>
      </c>
      <c r="I185" s="3">
        <v>0.05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1"/>
      <c r="P185" s="3" t="s">
        <v>29</v>
      </c>
      <c r="Q185" s="3" t="s">
        <v>30</v>
      </c>
      <c r="R185" s="3" t="s">
        <v>60</v>
      </c>
      <c r="S185" s="3" t="s">
        <v>674</v>
      </c>
      <c r="T185" s="3">
        <v>5755183070152</v>
      </c>
      <c r="U185" s="3">
        <v>440</v>
      </c>
      <c r="V185" s="3" t="s">
        <v>675</v>
      </c>
      <c r="W185" s="3">
        <v>0.05</v>
      </c>
      <c r="X185" s="3">
        <v>10.99283</v>
      </c>
      <c r="Y185" s="3">
        <v>76.940849999999998</v>
      </c>
      <c r="Z185" s="3">
        <v>9677553379</v>
      </c>
    </row>
    <row r="186" spans="1:26" ht="15" customHeight="1" x14ac:dyDescent="0.25">
      <c r="A186" s="3" t="s">
        <v>676</v>
      </c>
      <c r="B186" s="3">
        <f>COUNTIFS(Sheet1!B:B,'Entities table_CCMS Panel View'!A186)</f>
        <v>0</v>
      </c>
      <c r="C186" s="3" t="s">
        <v>26</v>
      </c>
      <c r="D186" s="3" t="s">
        <v>27</v>
      </c>
      <c r="E186" s="3" t="s">
        <v>677</v>
      </c>
      <c r="F186" s="3">
        <v>222.26</v>
      </c>
      <c r="G186" s="3">
        <v>0</v>
      </c>
      <c r="H186" s="3">
        <v>0</v>
      </c>
      <c r="I186" s="3">
        <v>7.0000000000000007E-2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1"/>
      <c r="P186" s="3" t="s">
        <v>29</v>
      </c>
      <c r="Q186" s="3" t="s">
        <v>30</v>
      </c>
      <c r="R186" s="3" t="s">
        <v>60</v>
      </c>
      <c r="S186" s="3" t="s">
        <v>678</v>
      </c>
      <c r="T186" s="3">
        <v>5755183072182</v>
      </c>
      <c r="U186" s="3">
        <v>103</v>
      </c>
      <c r="V186" s="3" t="s">
        <v>679</v>
      </c>
      <c r="W186" s="3">
        <v>7.0000000000000007E-2</v>
      </c>
      <c r="X186" s="3">
        <v>10.9994832</v>
      </c>
      <c r="Y186" s="3">
        <v>76.938016000000005</v>
      </c>
      <c r="Z186" s="3">
        <v>9677553379</v>
      </c>
    </row>
    <row r="187" spans="1:26" ht="15" hidden="1" customHeight="1" x14ac:dyDescent="0.25">
      <c r="A187" s="3" t="s">
        <v>680</v>
      </c>
      <c r="B187" s="3">
        <f>COUNTIFS(Sheet1!B:B,'Entities table_CCMS Panel View'!A187)</f>
        <v>1</v>
      </c>
      <c r="C187" s="3" t="s">
        <v>26</v>
      </c>
      <c r="D187" s="3" t="s">
        <v>27</v>
      </c>
      <c r="E187" s="3" t="s">
        <v>113</v>
      </c>
      <c r="F187" s="3">
        <v>220.94</v>
      </c>
      <c r="G187" s="3">
        <v>0</v>
      </c>
      <c r="H187" s="3">
        <v>0</v>
      </c>
      <c r="I187" s="3">
        <v>0.05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1"/>
      <c r="P187" s="3" t="s">
        <v>29</v>
      </c>
      <c r="Q187" s="3" t="s">
        <v>30</v>
      </c>
      <c r="R187" s="3" t="s">
        <v>108</v>
      </c>
      <c r="S187" s="3" t="s">
        <v>681</v>
      </c>
      <c r="T187" s="3">
        <v>5755183072635</v>
      </c>
      <c r="U187" s="3">
        <v>1007</v>
      </c>
      <c r="V187" s="3" t="s">
        <v>682</v>
      </c>
      <c r="W187" s="3">
        <v>0.06</v>
      </c>
      <c r="X187" s="3">
        <v>10.9848227</v>
      </c>
      <c r="Y187" s="3">
        <v>76.936928899999998</v>
      </c>
      <c r="Z187" s="3">
        <v>8667729030</v>
      </c>
    </row>
    <row r="188" spans="1:26" ht="15" hidden="1" customHeight="1" x14ac:dyDescent="0.25">
      <c r="A188" s="3" t="s">
        <v>683</v>
      </c>
      <c r="B188" s="3">
        <f>COUNTIFS(Sheet1!B:B,'Entities table_CCMS Panel View'!A188)</f>
        <v>1</v>
      </c>
      <c r="C188" s="3" t="s">
        <v>26</v>
      </c>
      <c r="D188" s="3" t="s">
        <v>27</v>
      </c>
      <c r="E188" s="3" t="s">
        <v>196</v>
      </c>
      <c r="F188" s="3">
        <v>229.55</v>
      </c>
      <c r="G188" s="3">
        <v>0</v>
      </c>
      <c r="H188" s="3">
        <v>0</v>
      </c>
      <c r="I188" s="3">
        <v>0.05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 t="s">
        <v>48</v>
      </c>
      <c r="P188" s="3" t="s">
        <v>29</v>
      </c>
      <c r="Q188" s="3" t="s">
        <v>30</v>
      </c>
      <c r="R188" s="3" t="s">
        <v>31</v>
      </c>
      <c r="S188" s="3" t="s">
        <v>684</v>
      </c>
      <c r="T188" s="3">
        <v>5755183073454</v>
      </c>
      <c r="U188" s="3">
        <v>411</v>
      </c>
      <c r="V188" s="3" t="s">
        <v>685</v>
      </c>
      <c r="W188" s="3">
        <v>0.05</v>
      </c>
      <c r="X188" s="3">
        <v>10.9832679</v>
      </c>
      <c r="Y188" s="3">
        <v>76.922039299999994</v>
      </c>
      <c r="Z188" s="3">
        <v>8667729030</v>
      </c>
    </row>
    <row r="189" spans="1:26" ht="15" hidden="1" customHeight="1" x14ac:dyDescent="0.25">
      <c r="A189" s="3" t="s">
        <v>686</v>
      </c>
      <c r="B189" s="3">
        <f>COUNTIFS(Sheet1!B:B,'Entities table_CCMS Panel View'!A189)</f>
        <v>1</v>
      </c>
      <c r="C189" s="3" t="s">
        <v>26</v>
      </c>
      <c r="D189" s="3" t="s">
        <v>27</v>
      </c>
      <c r="E189" s="3" t="s">
        <v>687</v>
      </c>
      <c r="F189" s="3">
        <v>222.49</v>
      </c>
      <c r="G189" s="3">
        <v>0</v>
      </c>
      <c r="H189" s="3">
        <v>0</v>
      </c>
      <c r="I189" s="3">
        <v>0.05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1"/>
      <c r="P189" s="3" t="s">
        <v>29</v>
      </c>
      <c r="Q189" s="3" t="s">
        <v>30</v>
      </c>
      <c r="R189" s="3" t="s">
        <v>60</v>
      </c>
      <c r="S189" s="3" t="s">
        <v>688</v>
      </c>
      <c r="T189" s="3">
        <v>9498730193</v>
      </c>
      <c r="U189" s="3">
        <v>1571</v>
      </c>
      <c r="V189" s="3" t="s">
        <v>689</v>
      </c>
      <c r="W189" s="3">
        <v>0.05</v>
      </c>
      <c r="X189" s="3">
        <v>10.999445100000001</v>
      </c>
      <c r="Y189" s="3">
        <v>76.9424463</v>
      </c>
      <c r="Z189" s="3">
        <v>9677553379</v>
      </c>
    </row>
    <row r="190" spans="1:26" ht="15" hidden="1" customHeight="1" x14ac:dyDescent="0.25">
      <c r="A190" s="3" t="s">
        <v>690</v>
      </c>
      <c r="B190" s="3">
        <f>COUNTIFS(Sheet1!B:B,'Entities table_CCMS Panel View'!A190)</f>
        <v>1</v>
      </c>
      <c r="C190" s="3" t="s">
        <v>26</v>
      </c>
      <c r="D190" s="3" t="s">
        <v>27</v>
      </c>
      <c r="E190" s="3" t="s">
        <v>349</v>
      </c>
      <c r="F190" s="3">
        <v>225.41</v>
      </c>
      <c r="G190" s="3">
        <v>0</v>
      </c>
      <c r="H190" s="3">
        <v>0</v>
      </c>
      <c r="I190" s="3">
        <v>0.06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 t="s">
        <v>48</v>
      </c>
      <c r="P190" s="3" t="s">
        <v>29</v>
      </c>
      <c r="Q190" s="3" t="s">
        <v>30</v>
      </c>
      <c r="R190" s="3" t="s">
        <v>31</v>
      </c>
      <c r="S190" s="3" t="s">
        <v>691</v>
      </c>
      <c r="T190" s="3">
        <v>5755183073033</v>
      </c>
      <c r="U190" s="3">
        <v>1075</v>
      </c>
      <c r="V190" s="3" t="s">
        <v>692</v>
      </c>
      <c r="W190" s="3">
        <v>0.06</v>
      </c>
      <c r="X190" s="3">
        <v>10.9843051</v>
      </c>
      <c r="Y190" s="3">
        <v>76.928502399999999</v>
      </c>
      <c r="Z190" s="3">
        <v>8667729030</v>
      </c>
    </row>
    <row r="191" spans="1:26" ht="15" customHeight="1" x14ac:dyDescent="0.25">
      <c r="A191" s="3" t="s">
        <v>693</v>
      </c>
      <c r="B191" s="3">
        <f>COUNTIFS(Sheet1!B:B,'Entities table_CCMS Panel View'!A191)</f>
        <v>0</v>
      </c>
      <c r="C191" s="3" t="s">
        <v>26</v>
      </c>
      <c r="D191" s="3" t="s">
        <v>27</v>
      </c>
      <c r="E191" s="3" t="s">
        <v>72</v>
      </c>
      <c r="F191" s="3">
        <v>229.79</v>
      </c>
      <c r="G191" s="3">
        <v>0</v>
      </c>
      <c r="H191" s="3">
        <v>0</v>
      </c>
      <c r="I191" s="3">
        <v>0.06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1"/>
      <c r="P191" s="3" t="s">
        <v>29</v>
      </c>
      <c r="Q191" s="3" t="s">
        <v>30</v>
      </c>
      <c r="R191" s="3" t="s">
        <v>42</v>
      </c>
      <c r="S191" s="3" t="s">
        <v>694</v>
      </c>
      <c r="T191" s="3">
        <v>5755183072682</v>
      </c>
      <c r="U191" s="3">
        <v>1794</v>
      </c>
      <c r="V191" s="3" t="s">
        <v>695</v>
      </c>
      <c r="W191" s="3">
        <v>0.06</v>
      </c>
      <c r="X191" s="3">
        <v>10.9819873</v>
      </c>
      <c r="Y191" s="3">
        <v>76.964456900000002</v>
      </c>
      <c r="Z191" s="3">
        <v>9080911740</v>
      </c>
    </row>
    <row r="192" spans="1:26" ht="15" customHeight="1" x14ac:dyDescent="0.25">
      <c r="A192" s="3" t="s">
        <v>696</v>
      </c>
      <c r="B192" s="3">
        <f>COUNTIFS(Sheet1!B:B,'Entities table_CCMS Panel View'!A192)</f>
        <v>0</v>
      </c>
      <c r="C192" s="3" t="s">
        <v>26</v>
      </c>
      <c r="D192" s="3" t="s">
        <v>27</v>
      </c>
      <c r="E192" s="3" t="s">
        <v>201</v>
      </c>
      <c r="F192" s="3">
        <v>191.75</v>
      </c>
      <c r="G192" s="3">
        <v>0</v>
      </c>
      <c r="H192" s="3">
        <v>0</v>
      </c>
      <c r="I192" s="3">
        <v>0.06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1"/>
      <c r="P192" s="3" t="s">
        <v>29</v>
      </c>
      <c r="Q192" s="3" t="s">
        <v>30</v>
      </c>
      <c r="R192" s="3" t="s">
        <v>42</v>
      </c>
      <c r="S192" s="3" t="s">
        <v>697</v>
      </c>
      <c r="T192" s="3">
        <v>5755183073248</v>
      </c>
      <c r="U192" s="3">
        <v>1</v>
      </c>
      <c r="V192" s="3" t="s">
        <v>698</v>
      </c>
      <c r="W192" s="3">
        <v>0.06</v>
      </c>
      <c r="X192" s="3">
        <v>10.9809357</v>
      </c>
      <c r="Y192" s="3">
        <v>76.968031300000007</v>
      </c>
      <c r="Z192" s="3">
        <v>9677553379</v>
      </c>
    </row>
    <row r="193" spans="1:26" ht="15" hidden="1" customHeight="1" x14ac:dyDescent="0.25">
      <c r="A193" s="3" t="s">
        <v>699</v>
      </c>
      <c r="B193" s="3">
        <f>COUNTIFS(Sheet1!B:B,'Entities table_CCMS Panel View'!A193)</f>
        <v>1</v>
      </c>
      <c r="C193" s="3" t="s">
        <v>26</v>
      </c>
      <c r="D193" s="3" t="s">
        <v>27</v>
      </c>
      <c r="E193" s="3" t="s">
        <v>80</v>
      </c>
      <c r="F193" s="3">
        <v>229.03</v>
      </c>
      <c r="G193" s="3">
        <v>0</v>
      </c>
      <c r="H193" s="3">
        <v>0</v>
      </c>
      <c r="I193" s="3">
        <v>0.05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1"/>
      <c r="P193" s="3" t="s">
        <v>29</v>
      </c>
      <c r="Q193" s="3" t="s">
        <v>30</v>
      </c>
      <c r="R193" s="3" t="s">
        <v>42</v>
      </c>
      <c r="S193" s="3" t="s">
        <v>700</v>
      </c>
      <c r="T193" s="3">
        <v>5755183072719</v>
      </c>
      <c r="U193" s="3">
        <v>1459</v>
      </c>
      <c r="V193" s="3" t="s">
        <v>701</v>
      </c>
      <c r="W193" s="3">
        <v>0.05</v>
      </c>
      <c r="X193" s="3">
        <v>10.976442799999999</v>
      </c>
      <c r="Y193" s="3">
        <v>76.9579667</v>
      </c>
      <c r="Z193" s="3">
        <v>9677553379</v>
      </c>
    </row>
    <row r="194" spans="1:26" ht="15" customHeight="1" x14ac:dyDescent="0.25">
      <c r="A194" s="3" t="s">
        <v>702</v>
      </c>
      <c r="B194" s="3">
        <f>COUNTIFS(Sheet1!B:B,'Entities table_CCMS Panel View'!A194)</f>
        <v>0</v>
      </c>
      <c r="C194" s="3" t="s">
        <v>26</v>
      </c>
      <c r="D194" s="3" t="s">
        <v>27</v>
      </c>
      <c r="E194" s="3" t="s">
        <v>113</v>
      </c>
      <c r="F194" s="3">
        <v>222.34</v>
      </c>
      <c r="G194" s="3">
        <v>0</v>
      </c>
      <c r="H194" s="3">
        <v>0</v>
      </c>
      <c r="I194" s="3">
        <v>0.04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 t="s">
        <v>48</v>
      </c>
      <c r="P194" s="3" t="s">
        <v>29</v>
      </c>
      <c r="Q194" s="3" t="s">
        <v>30</v>
      </c>
      <c r="R194" s="3" t="s">
        <v>37</v>
      </c>
      <c r="S194" s="3" t="s">
        <v>703</v>
      </c>
      <c r="T194" s="3">
        <v>5755183070863</v>
      </c>
      <c r="U194" s="3">
        <v>1236</v>
      </c>
      <c r="V194" s="3" t="s">
        <v>704</v>
      </c>
      <c r="W194" s="3">
        <v>0.04</v>
      </c>
      <c r="X194" s="3">
        <v>10.991689300000001</v>
      </c>
      <c r="Y194" s="3">
        <v>76.943113699999998</v>
      </c>
      <c r="Z194" s="3">
        <v>9677553379</v>
      </c>
    </row>
    <row r="195" spans="1:26" ht="15" hidden="1" customHeight="1" x14ac:dyDescent="0.25">
      <c r="A195" s="3" t="s">
        <v>705</v>
      </c>
      <c r="B195" s="3">
        <f>COUNTIFS(Sheet1!B:B,'Entities table_CCMS Panel View'!A195)</f>
        <v>1</v>
      </c>
      <c r="C195" s="3" t="s">
        <v>26</v>
      </c>
      <c r="D195" s="3" t="s">
        <v>27</v>
      </c>
      <c r="E195" s="3" t="s">
        <v>113</v>
      </c>
      <c r="F195" s="3">
        <v>222.86</v>
      </c>
      <c r="G195" s="3">
        <v>0</v>
      </c>
      <c r="H195" s="3">
        <v>0</v>
      </c>
      <c r="I195" s="3">
        <v>0.04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 t="s">
        <v>706</v>
      </c>
      <c r="P195" s="3" t="s">
        <v>29</v>
      </c>
      <c r="Q195" s="3" t="s">
        <v>30</v>
      </c>
      <c r="R195" s="3" t="s">
        <v>37</v>
      </c>
      <c r="S195" s="3" t="s">
        <v>707</v>
      </c>
      <c r="T195" s="3">
        <v>5755183044826</v>
      </c>
      <c r="U195" s="3">
        <v>2028</v>
      </c>
      <c r="V195" s="3" t="s">
        <v>708</v>
      </c>
      <c r="W195" s="3">
        <v>0.04</v>
      </c>
      <c r="X195" s="3">
        <v>10.9925768</v>
      </c>
      <c r="Y195" s="3">
        <v>76.944545199999993</v>
      </c>
      <c r="Z195" s="3">
        <v>9677553379</v>
      </c>
    </row>
    <row r="196" spans="1:26" ht="15" hidden="1" customHeight="1" x14ac:dyDescent="0.25">
      <c r="A196" s="3" t="s">
        <v>709</v>
      </c>
      <c r="B196" s="3">
        <f>COUNTIFS(Sheet1!B:B,'Entities table_CCMS Panel View'!A196)</f>
        <v>1</v>
      </c>
      <c r="C196" s="3" t="s">
        <v>26</v>
      </c>
      <c r="D196" s="3" t="s">
        <v>27</v>
      </c>
      <c r="E196" s="3" t="s">
        <v>113</v>
      </c>
      <c r="F196" s="3">
        <v>206.87</v>
      </c>
      <c r="G196" s="3">
        <v>0</v>
      </c>
      <c r="H196" s="3">
        <v>0</v>
      </c>
      <c r="I196" s="3">
        <v>0.06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1"/>
      <c r="P196" s="3" t="s">
        <v>29</v>
      </c>
      <c r="Q196" s="3" t="s">
        <v>30</v>
      </c>
      <c r="R196" s="3" t="s">
        <v>37</v>
      </c>
      <c r="S196" s="3" t="s">
        <v>710</v>
      </c>
      <c r="T196" s="3">
        <v>5755183060599</v>
      </c>
      <c r="U196" s="3">
        <v>1296</v>
      </c>
      <c r="V196" s="3" t="s">
        <v>711</v>
      </c>
      <c r="W196" s="3">
        <v>0.06</v>
      </c>
      <c r="X196" s="3">
        <v>10.988033700000001</v>
      </c>
      <c r="Y196" s="3">
        <v>76.937018600000002</v>
      </c>
      <c r="Z196" s="3">
        <v>8667729030</v>
      </c>
    </row>
    <row r="197" spans="1:26" ht="15" hidden="1" customHeight="1" x14ac:dyDescent="0.25">
      <c r="A197" s="3" t="s">
        <v>712</v>
      </c>
      <c r="B197" s="3">
        <f>COUNTIFS(Sheet1!B:B,'Entities table_CCMS Panel View'!A197)</f>
        <v>1</v>
      </c>
      <c r="C197" s="3" t="s">
        <v>26</v>
      </c>
      <c r="D197" s="3" t="s">
        <v>27</v>
      </c>
      <c r="E197" s="3" t="s">
        <v>107</v>
      </c>
      <c r="F197" s="3">
        <v>223.56</v>
      </c>
      <c r="G197" s="3">
        <v>0</v>
      </c>
      <c r="H197" s="3">
        <v>0</v>
      </c>
      <c r="I197" s="3">
        <v>0.05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1"/>
      <c r="P197" s="3" t="s">
        <v>29</v>
      </c>
      <c r="Q197" s="3" t="s">
        <v>30</v>
      </c>
      <c r="R197" s="3" t="s">
        <v>42</v>
      </c>
      <c r="S197" s="3" t="s">
        <v>713</v>
      </c>
      <c r="T197" s="3">
        <v>5755183072722</v>
      </c>
      <c r="U197" s="3">
        <v>1922</v>
      </c>
      <c r="V197" s="3" t="s">
        <v>714</v>
      </c>
      <c r="W197" s="3">
        <v>0.05</v>
      </c>
      <c r="X197" s="3">
        <v>10.9847517</v>
      </c>
      <c r="Y197" s="3">
        <v>76.962716200000003</v>
      </c>
      <c r="Z197" s="3">
        <v>9080911740</v>
      </c>
    </row>
    <row r="198" spans="1:26" ht="15" hidden="1" customHeight="1" x14ac:dyDescent="0.25">
      <c r="A198" s="3" t="s">
        <v>715</v>
      </c>
      <c r="B198" s="3">
        <f>COUNTIFS(Sheet1!B:B,'Entities table_CCMS Panel View'!A198)</f>
        <v>1</v>
      </c>
      <c r="C198" s="3" t="s">
        <v>26</v>
      </c>
      <c r="D198" s="3" t="s">
        <v>27</v>
      </c>
      <c r="E198" s="3" t="s">
        <v>716</v>
      </c>
      <c r="F198" s="3">
        <v>227.24</v>
      </c>
      <c r="G198" s="3">
        <v>0</v>
      </c>
      <c r="H198" s="3">
        <v>0</v>
      </c>
      <c r="I198" s="3">
        <v>0.05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1"/>
      <c r="P198" s="3" t="s">
        <v>29</v>
      </c>
      <c r="Q198" s="3" t="s">
        <v>30</v>
      </c>
      <c r="R198" s="3" t="s">
        <v>31</v>
      </c>
      <c r="S198" s="3" t="s">
        <v>717</v>
      </c>
      <c r="T198" s="3">
        <v>5755183073500</v>
      </c>
      <c r="U198" s="3">
        <v>3128</v>
      </c>
      <c r="V198" s="3" t="s">
        <v>718</v>
      </c>
      <c r="W198" s="3">
        <v>0.06</v>
      </c>
      <c r="X198" s="3">
        <v>10.9905285</v>
      </c>
      <c r="Y198" s="3">
        <v>76.926313800000003</v>
      </c>
      <c r="Z198" s="3">
        <v>9677553379</v>
      </c>
    </row>
    <row r="199" spans="1:26" ht="15" hidden="1" customHeight="1" x14ac:dyDescent="0.25">
      <c r="A199" s="3" t="s">
        <v>719</v>
      </c>
      <c r="B199" s="3">
        <f>COUNTIFS(Sheet1!B:B,'Entities table_CCMS Panel View'!A199)</f>
        <v>1</v>
      </c>
      <c r="C199" s="3" t="s">
        <v>26</v>
      </c>
      <c r="D199" s="3" t="s">
        <v>27</v>
      </c>
      <c r="E199" s="3" t="s">
        <v>720</v>
      </c>
      <c r="F199" s="3">
        <v>222.51</v>
      </c>
      <c r="G199" s="3">
        <v>0</v>
      </c>
      <c r="H199" s="3">
        <v>0</v>
      </c>
      <c r="I199" s="3">
        <v>0.04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1"/>
      <c r="P199" s="3" t="s">
        <v>29</v>
      </c>
      <c r="Q199" s="3" t="s">
        <v>30</v>
      </c>
      <c r="R199" s="3" t="s">
        <v>42</v>
      </c>
      <c r="S199" s="3" t="s">
        <v>721</v>
      </c>
      <c r="T199" s="3">
        <v>5755183073396</v>
      </c>
      <c r="U199" s="3">
        <v>1405</v>
      </c>
      <c r="V199" s="3" t="s">
        <v>722</v>
      </c>
      <c r="W199" s="3">
        <v>0.04</v>
      </c>
      <c r="X199" s="3">
        <v>10.986399199999999</v>
      </c>
      <c r="Y199" s="3">
        <v>76.966646400000002</v>
      </c>
      <c r="Z199" s="3">
        <v>9677553379</v>
      </c>
    </row>
    <row r="200" spans="1:26" ht="15" customHeight="1" x14ac:dyDescent="0.25">
      <c r="A200" s="3" t="s">
        <v>723</v>
      </c>
      <c r="B200" s="3">
        <f>COUNTIFS(Sheet1!B:B,'Entities table_CCMS Panel View'!A200)</f>
        <v>0</v>
      </c>
      <c r="C200" s="3" t="s">
        <v>26</v>
      </c>
      <c r="D200" s="3" t="s">
        <v>27</v>
      </c>
      <c r="E200" s="3" t="s">
        <v>242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 t="s">
        <v>145</v>
      </c>
      <c r="P200" s="3" t="s">
        <v>29</v>
      </c>
      <c r="Q200" s="3" t="s">
        <v>30</v>
      </c>
      <c r="R200" s="3" t="s">
        <v>42</v>
      </c>
      <c r="S200" s="3" t="s">
        <v>724</v>
      </c>
      <c r="T200" s="3">
        <v>5755183072469</v>
      </c>
      <c r="U200" s="3">
        <v>1267</v>
      </c>
      <c r="V200" s="3" t="s">
        <v>725</v>
      </c>
      <c r="W200" s="3">
        <v>0</v>
      </c>
      <c r="X200" s="3">
        <v>10.9737733</v>
      </c>
      <c r="Y200" s="3">
        <v>76.964967599999994</v>
      </c>
      <c r="Z200" s="3">
        <v>8667729030</v>
      </c>
    </row>
    <row r="201" spans="1:26" ht="15" customHeight="1" x14ac:dyDescent="0.25">
      <c r="A201" s="3" t="s">
        <v>726</v>
      </c>
      <c r="B201" s="3">
        <f>COUNTIFS(Sheet1!B:B,'Entities table_CCMS Panel View'!A201)</f>
        <v>0</v>
      </c>
      <c r="C201" s="3" t="s">
        <v>26</v>
      </c>
      <c r="D201" s="3" t="s">
        <v>27</v>
      </c>
      <c r="E201" s="3" t="s">
        <v>107</v>
      </c>
      <c r="F201" s="3">
        <v>218.88</v>
      </c>
      <c r="G201" s="3">
        <v>0</v>
      </c>
      <c r="H201" s="3">
        <v>0</v>
      </c>
      <c r="I201" s="3">
        <v>0.05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1"/>
      <c r="P201" s="3" t="s">
        <v>29</v>
      </c>
      <c r="Q201" s="3" t="s">
        <v>30</v>
      </c>
      <c r="R201" s="3" t="s">
        <v>42</v>
      </c>
      <c r="S201" s="3" t="s">
        <v>727</v>
      </c>
      <c r="T201" s="3">
        <v>5755183013557</v>
      </c>
      <c r="U201" s="3">
        <v>2474</v>
      </c>
      <c r="V201" s="3" t="s">
        <v>728</v>
      </c>
      <c r="W201" s="3">
        <v>0.05</v>
      </c>
      <c r="X201" s="3">
        <v>10.9815697</v>
      </c>
      <c r="Y201" s="3">
        <v>76.968174000000005</v>
      </c>
      <c r="Z201" s="3">
        <v>9677553379</v>
      </c>
    </row>
    <row r="202" spans="1:26" ht="15" hidden="1" customHeight="1" x14ac:dyDescent="0.25">
      <c r="A202" s="3" t="s">
        <v>729</v>
      </c>
      <c r="B202" s="3">
        <f>COUNTIFS(Sheet1!B:B,'Entities table_CCMS Panel View'!A202)</f>
        <v>1</v>
      </c>
      <c r="C202" s="3" t="s">
        <v>26</v>
      </c>
      <c r="D202" s="3" t="s">
        <v>27</v>
      </c>
      <c r="E202" s="3" t="s">
        <v>80</v>
      </c>
      <c r="F202" s="3">
        <v>223.41</v>
      </c>
      <c r="G202" s="3">
        <v>0</v>
      </c>
      <c r="H202" s="3">
        <v>0</v>
      </c>
      <c r="I202" s="3">
        <v>0.05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1"/>
      <c r="P202" s="3" t="s">
        <v>29</v>
      </c>
      <c r="Q202" s="3" t="s">
        <v>30</v>
      </c>
      <c r="R202" s="3" t="s">
        <v>31</v>
      </c>
      <c r="S202" s="3" t="s">
        <v>730</v>
      </c>
      <c r="T202" s="3">
        <v>5755183072636</v>
      </c>
      <c r="U202" s="3">
        <v>778</v>
      </c>
      <c r="V202" s="3" t="s">
        <v>731</v>
      </c>
      <c r="W202" s="3">
        <v>0.05</v>
      </c>
      <c r="X202" s="3">
        <v>10.990056900000001</v>
      </c>
      <c r="Y202" s="3">
        <v>76.934763799999999</v>
      </c>
      <c r="Z202" s="3">
        <v>9080911740</v>
      </c>
    </row>
    <row r="203" spans="1:26" ht="15" hidden="1" customHeight="1" x14ac:dyDescent="0.25">
      <c r="A203" s="3" t="s">
        <v>732</v>
      </c>
      <c r="B203" s="3">
        <f>COUNTIFS(Sheet1!B:B,'Entities table_CCMS Panel View'!A203)</f>
        <v>1</v>
      </c>
      <c r="C203" s="3" t="s">
        <v>26</v>
      </c>
      <c r="D203" s="3" t="s">
        <v>27</v>
      </c>
      <c r="E203" s="3" t="s">
        <v>80</v>
      </c>
      <c r="F203" s="3">
        <v>233.39</v>
      </c>
      <c r="G203" s="3">
        <v>0</v>
      </c>
      <c r="H203" s="3">
        <v>0</v>
      </c>
      <c r="I203" s="3">
        <v>0.05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1"/>
      <c r="P203" s="3" t="s">
        <v>29</v>
      </c>
      <c r="Q203" s="3" t="s">
        <v>30</v>
      </c>
      <c r="R203" s="3" t="s">
        <v>42</v>
      </c>
      <c r="S203" s="3" t="s">
        <v>733</v>
      </c>
      <c r="T203" s="3">
        <v>5755183072365</v>
      </c>
      <c r="U203" s="3" t="s">
        <v>734</v>
      </c>
      <c r="V203" s="3" t="s">
        <v>735</v>
      </c>
      <c r="W203" s="3">
        <v>0.05</v>
      </c>
      <c r="X203" s="3">
        <v>10.9788766</v>
      </c>
      <c r="Y203" s="3">
        <v>76.960977600000007</v>
      </c>
      <c r="Z203" s="3">
        <v>9080911740</v>
      </c>
    </row>
    <row r="204" spans="1:26" ht="15" hidden="1" customHeight="1" x14ac:dyDescent="0.25">
      <c r="A204" s="3" t="s">
        <v>736</v>
      </c>
      <c r="B204" s="3">
        <f>COUNTIFS(Sheet1!B:B,'Entities table_CCMS Panel View'!A204)</f>
        <v>1</v>
      </c>
      <c r="C204" s="3" t="s">
        <v>26</v>
      </c>
      <c r="D204" s="3" t="s">
        <v>27</v>
      </c>
      <c r="E204" s="3" t="s">
        <v>201</v>
      </c>
      <c r="F204" s="3">
        <v>232.05</v>
      </c>
      <c r="G204" s="3">
        <v>0</v>
      </c>
      <c r="H204" s="3">
        <v>0</v>
      </c>
      <c r="I204" s="3">
        <v>0.05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1"/>
      <c r="P204" s="3" t="s">
        <v>29</v>
      </c>
      <c r="Q204" s="3" t="s">
        <v>30</v>
      </c>
      <c r="R204" s="3" t="s">
        <v>42</v>
      </c>
      <c r="S204" s="3" t="s">
        <v>737</v>
      </c>
      <c r="T204" s="3">
        <v>5755183013242</v>
      </c>
      <c r="U204" s="3">
        <v>2277</v>
      </c>
      <c r="V204" s="3" t="s">
        <v>738</v>
      </c>
      <c r="W204" s="3">
        <v>0.05</v>
      </c>
      <c r="X204" s="3">
        <v>10.9764921</v>
      </c>
      <c r="Y204" s="3">
        <v>76.963633299999998</v>
      </c>
      <c r="Z204" s="3">
        <v>9677553379</v>
      </c>
    </row>
    <row r="205" spans="1:26" ht="15" customHeight="1" x14ac:dyDescent="0.25">
      <c r="A205" s="3" t="s">
        <v>739</v>
      </c>
      <c r="B205" s="3">
        <f>COUNTIFS(Sheet1!B:B,'Entities table_CCMS Panel View'!A205)</f>
        <v>0</v>
      </c>
      <c r="C205" s="3" t="s">
        <v>101</v>
      </c>
      <c r="D205" s="3" t="s">
        <v>102</v>
      </c>
      <c r="E205" s="3" t="s">
        <v>740</v>
      </c>
      <c r="F205" s="3">
        <v>237.95</v>
      </c>
      <c r="G205" s="3">
        <v>0</v>
      </c>
      <c r="H205" s="3">
        <v>0</v>
      </c>
      <c r="I205" s="3">
        <v>0.1</v>
      </c>
      <c r="J205" s="3">
        <v>0</v>
      </c>
      <c r="K205" s="3">
        <v>0</v>
      </c>
      <c r="L205" s="3">
        <v>0.01</v>
      </c>
      <c r="M205" s="3">
        <v>0</v>
      </c>
      <c r="N205" s="3">
        <v>0</v>
      </c>
      <c r="O205" s="1"/>
      <c r="P205" s="3" t="s">
        <v>29</v>
      </c>
      <c r="Q205" s="3" t="s">
        <v>30</v>
      </c>
      <c r="R205" s="3" t="s">
        <v>42</v>
      </c>
      <c r="S205" s="3" t="s">
        <v>741</v>
      </c>
      <c r="T205" s="3">
        <v>5755183072770</v>
      </c>
      <c r="U205" s="3">
        <v>590</v>
      </c>
      <c r="V205" s="3" t="s">
        <v>742</v>
      </c>
      <c r="W205" s="3">
        <v>0.1</v>
      </c>
      <c r="X205" s="3">
        <v>10.9762688</v>
      </c>
      <c r="Y205" s="3">
        <v>76.963739799999999</v>
      </c>
      <c r="Z205" s="3">
        <v>9677553379</v>
      </c>
    </row>
    <row r="206" spans="1:26" ht="15" hidden="1" customHeight="1" x14ac:dyDescent="0.25">
      <c r="A206" s="3" t="s">
        <v>743</v>
      </c>
      <c r="B206" s="3">
        <f>COUNTIFS(Sheet1!B:B,'Entities table_CCMS Panel View'!A206)</f>
        <v>1</v>
      </c>
      <c r="C206" s="3" t="s">
        <v>26</v>
      </c>
      <c r="D206" s="3" t="s">
        <v>27</v>
      </c>
      <c r="E206" s="3" t="s">
        <v>345</v>
      </c>
      <c r="F206" s="3">
        <v>232.89</v>
      </c>
      <c r="G206" s="3">
        <v>0</v>
      </c>
      <c r="H206" s="3">
        <v>0</v>
      </c>
      <c r="I206" s="3">
        <v>0.05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1"/>
      <c r="P206" s="3" t="s">
        <v>29</v>
      </c>
      <c r="Q206" s="3" t="s">
        <v>30</v>
      </c>
      <c r="R206" s="3" t="s">
        <v>31</v>
      </c>
      <c r="S206" s="3" t="s">
        <v>744</v>
      </c>
      <c r="T206" s="3">
        <v>5755183080936</v>
      </c>
      <c r="U206" s="3">
        <v>2578</v>
      </c>
      <c r="V206" s="3" t="s">
        <v>745</v>
      </c>
      <c r="W206" s="3">
        <v>0.06</v>
      </c>
      <c r="X206" s="3">
        <v>10.9912472</v>
      </c>
      <c r="Y206" s="3">
        <v>76.926831399999998</v>
      </c>
      <c r="Z206" s="3">
        <v>9080911740</v>
      </c>
    </row>
    <row r="207" spans="1:26" ht="15" hidden="1" customHeight="1" x14ac:dyDescent="0.25">
      <c r="A207" s="3" t="s">
        <v>746</v>
      </c>
      <c r="B207" s="3">
        <f>COUNTIFS(Sheet1!B:B,'Entities table_CCMS Panel View'!A207)</f>
        <v>1</v>
      </c>
      <c r="C207" s="3" t="s">
        <v>26</v>
      </c>
      <c r="D207" s="3" t="s">
        <v>27</v>
      </c>
      <c r="E207" s="3" t="s">
        <v>747</v>
      </c>
      <c r="F207" s="3">
        <v>199.65</v>
      </c>
      <c r="G207" s="3">
        <v>0</v>
      </c>
      <c r="H207" s="3">
        <v>0</v>
      </c>
      <c r="I207" s="3">
        <v>0.08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1"/>
      <c r="P207" s="3" t="s">
        <v>29</v>
      </c>
      <c r="Q207" s="3" t="s">
        <v>30</v>
      </c>
      <c r="R207" s="3" t="s">
        <v>31</v>
      </c>
      <c r="S207" s="3" t="s">
        <v>748</v>
      </c>
      <c r="T207" s="3">
        <v>5755183070230</v>
      </c>
      <c r="U207" s="3">
        <v>3671</v>
      </c>
      <c r="V207" s="3" t="s">
        <v>749</v>
      </c>
      <c r="W207" s="3">
        <v>0.08</v>
      </c>
      <c r="X207" s="3">
        <v>10.9896455</v>
      </c>
      <c r="Y207" s="3">
        <v>76.930036999999999</v>
      </c>
      <c r="Z207" s="3">
        <v>8667729030</v>
      </c>
    </row>
    <row r="208" spans="1:26" ht="15" hidden="1" customHeight="1" x14ac:dyDescent="0.25">
      <c r="A208" s="3" t="s">
        <v>750</v>
      </c>
      <c r="B208" s="3">
        <f>COUNTIFS(Sheet1!B:B,'Entities table_CCMS Panel View'!A208)</f>
        <v>1</v>
      </c>
      <c r="C208" s="3" t="s">
        <v>26</v>
      </c>
      <c r="D208" s="3" t="s">
        <v>27</v>
      </c>
      <c r="E208" s="3" t="s">
        <v>36</v>
      </c>
      <c r="F208" s="3">
        <v>215.88</v>
      </c>
      <c r="G208" s="3">
        <v>0</v>
      </c>
      <c r="H208" s="3">
        <v>0</v>
      </c>
      <c r="I208" s="3">
        <v>0.05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1"/>
      <c r="P208" s="3" t="s">
        <v>29</v>
      </c>
      <c r="Q208" s="3" t="s">
        <v>30</v>
      </c>
      <c r="R208" s="3" t="s">
        <v>60</v>
      </c>
      <c r="S208" s="3" t="s">
        <v>751</v>
      </c>
      <c r="T208" s="3">
        <v>5755183044798</v>
      </c>
      <c r="U208" s="3">
        <v>1731</v>
      </c>
      <c r="V208" s="3" t="s">
        <v>752</v>
      </c>
      <c r="W208" s="3">
        <v>0.04</v>
      </c>
      <c r="X208" s="3">
        <v>10.995871599999999</v>
      </c>
      <c r="Y208" s="3">
        <v>76.940471500000001</v>
      </c>
      <c r="Z208" s="3">
        <v>9677553379</v>
      </c>
    </row>
    <row r="209" spans="1:26" ht="15" hidden="1" customHeight="1" x14ac:dyDescent="0.25">
      <c r="A209" s="3" t="s">
        <v>753</v>
      </c>
      <c r="B209" s="3">
        <f>COUNTIFS(Sheet1!B:B,'Entities table_CCMS Panel View'!A209)</f>
        <v>1</v>
      </c>
      <c r="C209" s="3" t="s">
        <v>26</v>
      </c>
      <c r="D209" s="3" t="s">
        <v>27</v>
      </c>
      <c r="E209" s="3" t="s">
        <v>543</v>
      </c>
      <c r="F209" s="3">
        <v>235.91</v>
      </c>
      <c r="G209" s="3">
        <v>0</v>
      </c>
      <c r="H209" s="3">
        <v>0</v>
      </c>
      <c r="I209" s="3">
        <v>0.05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1"/>
      <c r="P209" s="3" t="s">
        <v>29</v>
      </c>
      <c r="Q209" s="3" t="s">
        <v>30</v>
      </c>
      <c r="R209" s="3" t="s">
        <v>31</v>
      </c>
      <c r="S209" s="3" t="s">
        <v>754</v>
      </c>
      <c r="T209" s="3">
        <v>5755183044797</v>
      </c>
      <c r="U209" s="3" t="s">
        <v>755</v>
      </c>
      <c r="V209" s="3" t="s">
        <v>756</v>
      </c>
      <c r="W209" s="3">
        <v>0.05</v>
      </c>
      <c r="X209" s="3">
        <v>10.997125</v>
      </c>
      <c r="Y209" s="3">
        <v>76.934844799999993</v>
      </c>
      <c r="Z209" s="3">
        <v>9080911740</v>
      </c>
    </row>
    <row r="210" spans="1:26" ht="15" hidden="1" customHeight="1" x14ac:dyDescent="0.25">
      <c r="A210" s="3" t="s">
        <v>757</v>
      </c>
      <c r="B210" s="3">
        <f>COUNTIFS(Sheet1!B:B,'Entities table_CCMS Panel View'!A210)</f>
        <v>1</v>
      </c>
      <c r="C210" s="3" t="s">
        <v>26</v>
      </c>
      <c r="D210" s="3" t="s">
        <v>27</v>
      </c>
      <c r="E210" s="3" t="s">
        <v>619</v>
      </c>
      <c r="F210" s="3">
        <v>222.49</v>
      </c>
      <c r="G210" s="3">
        <v>0</v>
      </c>
      <c r="H210" s="3">
        <v>0</v>
      </c>
      <c r="I210" s="3">
        <v>0.05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1"/>
      <c r="P210" s="3" t="s">
        <v>29</v>
      </c>
      <c r="Q210" s="3" t="s">
        <v>30</v>
      </c>
      <c r="R210" s="3" t="s">
        <v>31</v>
      </c>
      <c r="S210" s="3" t="s">
        <v>758</v>
      </c>
      <c r="T210" s="3">
        <v>5755183072889</v>
      </c>
      <c r="U210" s="3">
        <v>1713</v>
      </c>
      <c r="V210" s="3" t="s">
        <v>759</v>
      </c>
      <c r="W210" s="3">
        <v>0.05</v>
      </c>
      <c r="X210" s="3">
        <v>10.9944857</v>
      </c>
      <c r="Y210" s="3">
        <v>76.927472100000003</v>
      </c>
      <c r="Z210" s="3">
        <v>9080911740</v>
      </c>
    </row>
    <row r="211" spans="1:26" ht="15" hidden="1" customHeight="1" x14ac:dyDescent="0.25">
      <c r="A211" s="3" t="s">
        <v>760</v>
      </c>
      <c r="B211" s="3">
        <f>COUNTIFS(Sheet1!B:B,'Entities table_CCMS Panel View'!A211)</f>
        <v>1</v>
      </c>
      <c r="C211" s="3" t="s">
        <v>26</v>
      </c>
      <c r="D211" s="3" t="s">
        <v>27</v>
      </c>
      <c r="E211" s="3" t="s">
        <v>64</v>
      </c>
      <c r="F211" s="3">
        <v>221.43</v>
      </c>
      <c r="G211" s="3">
        <v>0</v>
      </c>
      <c r="H211" s="3">
        <v>0</v>
      </c>
      <c r="I211" s="3">
        <v>0.04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1"/>
      <c r="P211" s="3" t="s">
        <v>29</v>
      </c>
      <c r="Q211" s="3" t="s">
        <v>30</v>
      </c>
      <c r="R211" s="3" t="s">
        <v>42</v>
      </c>
      <c r="S211" s="3" t="s">
        <v>761</v>
      </c>
      <c r="T211" s="3">
        <v>5755183073063</v>
      </c>
      <c r="U211" s="3">
        <v>1178</v>
      </c>
      <c r="V211" s="3" t="s">
        <v>762</v>
      </c>
      <c r="W211" s="3">
        <v>0.03</v>
      </c>
      <c r="X211" s="3">
        <v>10.981941900000001</v>
      </c>
      <c r="Y211" s="3">
        <v>76.964250899999996</v>
      </c>
      <c r="Z211" s="3">
        <v>9080911740</v>
      </c>
    </row>
    <row r="212" spans="1:26" ht="15" hidden="1" customHeight="1" x14ac:dyDescent="0.25">
      <c r="A212" s="3" t="s">
        <v>763</v>
      </c>
      <c r="B212" s="3">
        <f>COUNTIFS(Sheet1!B:B,'Entities table_CCMS Panel View'!A212)</f>
        <v>1</v>
      </c>
      <c r="C212" s="3" t="s">
        <v>26</v>
      </c>
      <c r="D212" s="3" t="s">
        <v>27</v>
      </c>
      <c r="E212" s="3" t="s">
        <v>764</v>
      </c>
      <c r="F212" s="3">
        <v>225.54</v>
      </c>
      <c r="G212" s="3">
        <v>0</v>
      </c>
      <c r="H212" s="3">
        <v>0</v>
      </c>
      <c r="I212" s="3">
        <v>7.0000000000000007E-2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1"/>
      <c r="P212" s="3" t="s">
        <v>29</v>
      </c>
      <c r="Q212" s="3" t="s">
        <v>30</v>
      </c>
      <c r="R212" s="3" t="s">
        <v>31</v>
      </c>
      <c r="S212" s="3" t="s">
        <v>765</v>
      </c>
      <c r="T212" s="3">
        <v>5755183073263</v>
      </c>
      <c r="U212" s="3">
        <v>2018</v>
      </c>
      <c r="V212" s="3" t="s">
        <v>766</v>
      </c>
      <c r="W212" s="3">
        <v>7.0000000000000007E-2</v>
      </c>
      <c r="X212" s="3">
        <v>10.9912472</v>
      </c>
      <c r="Y212" s="3">
        <v>76.926831399999998</v>
      </c>
      <c r="Z212" s="3">
        <v>9080911740</v>
      </c>
    </row>
    <row r="213" spans="1:26" ht="15" customHeight="1" x14ac:dyDescent="0.25">
      <c r="A213" s="3" t="s">
        <v>767</v>
      </c>
      <c r="B213" s="3">
        <f>COUNTIFS(Sheet1!B:B,'Entities table_CCMS Panel View'!A213)</f>
        <v>0</v>
      </c>
      <c r="C213" s="3" t="s">
        <v>26</v>
      </c>
      <c r="D213" s="3" t="s">
        <v>27</v>
      </c>
      <c r="E213" s="3" t="s">
        <v>128</v>
      </c>
      <c r="F213" s="3">
        <v>210.32</v>
      </c>
      <c r="G213" s="3">
        <v>0</v>
      </c>
      <c r="H213" s="3">
        <v>0</v>
      </c>
      <c r="I213" s="3">
        <v>0.06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1"/>
      <c r="P213" s="3" t="s">
        <v>29</v>
      </c>
      <c r="Q213" s="3" t="s">
        <v>30</v>
      </c>
      <c r="R213" s="3" t="s">
        <v>31</v>
      </c>
      <c r="S213" s="3" t="s">
        <v>768</v>
      </c>
      <c r="T213" s="3">
        <v>5755183060051</v>
      </c>
      <c r="U213" s="3">
        <v>7017</v>
      </c>
      <c r="V213" s="3" t="s">
        <v>769</v>
      </c>
      <c r="W213" s="3">
        <v>0.06</v>
      </c>
      <c r="X213" s="3">
        <v>10.9974326</v>
      </c>
      <c r="Y213" s="3">
        <v>76.931620699999996</v>
      </c>
      <c r="Z213" s="3">
        <v>9080911740</v>
      </c>
    </row>
    <row r="214" spans="1:26" ht="15" hidden="1" customHeight="1" x14ac:dyDescent="0.25">
      <c r="A214" s="3" t="s">
        <v>770</v>
      </c>
      <c r="B214" s="3">
        <f>COUNTIFS(Sheet1!B:B,'Entities table_CCMS Panel View'!A214)</f>
        <v>1</v>
      </c>
      <c r="C214" s="3" t="s">
        <v>26</v>
      </c>
      <c r="D214" s="3" t="s">
        <v>27</v>
      </c>
      <c r="E214" s="3" t="s">
        <v>128</v>
      </c>
      <c r="F214" s="3">
        <v>215.31</v>
      </c>
      <c r="G214" s="3">
        <v>0</v>
      </c>
      <c r="H214" s="3">
        <v>0</v>
      </c>
      <c r="I214" s="3">
        <v>0.06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1"/>
      <c r="P214" s="3" t="s">
        <v>29</v>
      </c>
      <c r="Q214" s="3" t="s">
        <v>30</v>
      </c>
      <c r="R214" s="3" t="s">
        <v>31</v>
      </c>
      <c r="S214" s="3" t="s">
        <v>771</v>
      </c>
      <c r="T214" s="3">
        <v>5755183072062</v>
      </c>
      <c r="U214" s="3">
        <v>2369</v>
      </c>
      <c r="V214" s="3" t="s">
        <v>772</v>
      </c>
      <c r="W214" s="3">
        <v>0.06</v>
      </c>
      <c r="X214" s="3">
        <v>10.994601100000001</v>
      </c>
      <c r="Y214" s="3">
        <v>76.930348100000003</v>
      </c>
      <c r="Z214" s="3">
        <v>9080911740</v>
      </c>
    </row>
    <row r="215" spans="1:26" ht="15" hidden="1" customHeight="1" x14ac:dyDescent="0.25">
      <c r="A215" s="3" t="s">
        <v>773</v>
      </c>
      <c r="B215" s="3">
        <f>COUNTIFS(Sheet1!B:B,'Entities table_CCMS Panel View'!A215)</f>
        <v>1</v>
      </c>
      <c r="C215" s="3" t="s">
        <v>26</v>
      </c>
      <c r="D215" s="3" t="s">
        <v>27</v>
      </c>
      <c r="E215" s="3" t="s">
        <v>80</v>
      </c>
      <c r="F215" s="3">
        <v>226.38</v>
      </c>
      <c r="G215" s="3">
        <v>0</v>
      </c>
      <c r="H215" s="3">
        <v>0</v>
      </c>
      <c r="I215" s="3">
        <v>0.04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1"/>
      <c r="P215" s="3" t="s">
        <v>29</v>
      </c>
      <c r="Q215" s="3" t="s">
        <v>30</v>
      </c>
      <c r="R215" s="3" t="s">
        <v>60</v>
      </c>
      <c r="S215" s="3" t="s">
        <v>774</v>
      </c>
      <c r="T215" s="3">
        <v>5755183072354</v>
      </c>
      <c r="U215" s="3">
        <v>561</v>
      </c>
      <c r="V215" s="3" t="s">
        <v>775</v>
      </c>
      <c r="W215" s="3">
        <v>0.05</v>
      </c>
      <c r="X215" s="3">
        <v>10.9933058</v>
      </c>
      <c r="Y215" s="3">
        <v>76.941259599999995</v>
      </c>
      <c r="Z215" s="3">
        <v>9677553379</v>
      </c>
    </row>
    <row r="216" spans="1:26" ht="15" customHeight="1" x14ac:dyDescent="0.25">
      <c r="A216" s="3" t="s">
        <v>776</v>
      </c>
      <c r="B216" s="3">
        <f>COUNTIFS(Sheet1!B:B,'Entities table_CCMS Panel View'!A216)</f>
        <v>0</v>
      </c>
      <c r="C216" s="3" t="s">
        <v>26</v>
      </c>
      <c r="D216" s="3" t="s">
        <v>27</v>
      </c>
      <c r="E216" s="3" t="s">
        <v>777</v>
      </c>
      <c r="F216" s="3">
        <v>239.07</v>
      </c>
      <c r="G216" s="3">
        <v>0</v>
      </c>
      <c r="H216" s="3">
        <v>0</v>
      </c>
      <c r="I216" s="3">
        <v>0.05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1"/>
      <c r="P216" s="3" t="s">
        <v>29</v>
      </c>
      <c r="Q216" s="3" t="s">
        <v>30</v>
      </c>
      <c r="R216" s="3" t="s">
        <v>42</v>
      </c>
      <c r="S216" s="3" t="s">
        <v>778</v>
      </c>
      <c r="T216" s="3">
        <v>5755183073116</v>
      </c>
      <c r="U216" s="3" t="s">
        <v>779</v>
      </c>
      <c r="V216" s="3" t="s">
        <v>780</v>
      </c>
      <c r="W216" s="3">
        <v>0.05</v>
      </c>
      <c r="X216" s="3">
        <v>10.976646000000001</v>
      </c>
      <c r="Y216" s="3">
        <v>76.962459999999993</v>
      </c>
      <c r="Z216" s="3">
        <v>9677553379</v>
      </c>
    </row>
    <row r="217" spans="1:26" ht="15" hidden="1" customHeight="1" x14ac:dyDescent="0.25">
      <c r="A217" s="3" t="s">
        <v>781</v>
      </c>
      <c r="B217" s="3">
        <f>COUNTIFS(Sheet1!B:B,'Entities table_CCMS Panel View'!A217)</f>
        <v>1</v>
      </c>
      <c r="C217" s="3" t="s">
        <v>26</v>
      </c>
      <c r="D217" s="3" t="s">
        <v>27</v>
      </c>
      <c r="E217" s="3" t="s">
        <v>619</v>
      </c>
      <c r="F217" s="3">
        <v>219.09</v>
      </c>
      <c r="G217" s="3">
        <v>0</v>
      </c>
      <c r="H217" s="3">
        <v>0</v>
      </c>
      <c r="I217" s="3">
        <v>0.06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1"/>
      <c r="P217" s="3" t="s">
        <v>29</v>
      </c>
      <c r="Q217" s="3" t="s">
        <v>30</v>
      </c>
      <c r="R217" s="3" t="s">
        <v>31</v>
      </c>
      <c r="S217" s="3" t="s">
        <v>455</v>
      </c>
      <c r="T217" s="3">
        <v>5755183059865</v>
      </c>
      <c r="U217" s="3">
        <v>3130</v>
      </c>
      <c r="V217" s="3" t="s">
        <v>782</v>
      </c>
      <c r="W217" s="3">
        <v>0.06</v>
      </c>
      <c r="X217" s="3">
        <v>10.996642599999999</v>
      </c>
      <c r="Y217" s="3">
        <v>76.9284727</v>
      </c>
      <c r="Z217" s="3">
        <v>9080911740</v>
      </c>
    </row>
    <row r="218" spans="1:26" ht="15" hidden="1" customHeight="1" x14ac:dyDescent="0.25">
      <c r="A218" s="3" t="s">
        <v>783</v>
      </c>
      <c r="B218" s="3">
        <f>COUNTIFS(Sheet1!B:B,'Entities table_CCMS Panel View'!A218)</f>
        <v>1</v>
      </c>
      <c r="C218" s="3" t="s">
        <v>26</v>
      </c>
      <c r="D218" s="3" t="s">
        <v>27</v>
      </c>
      <c r="E218" s="3" t="s">
        <v>357</v>
      </c>
      <c r="F218" s="3">
        <v>217.68</v>
      </c>
      <c r="G218" s="3">
        <v>0</v>
      </c>
      <c r="H218" s="3">
        <v>0</v>
      </c>
      <c r="I218" s="3">
        <v>0.05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1"/>
      <c r="P218" s="3" t="s">
        <v>29</v>
      </c>
      <c r="Q218" s="3" t="s">
        <v>30</v>
      </c>
      <c r="R218" s="3" t="s">
        <v>31</v>
      </c>
      <c r="S218" s="3" t="s">
        <v>784</v>
      </c>
      <c r="T218" s="3">
        <v>5755183072081</v>
      </c>
      <c r="U218" s="3">
        <v>3125</v>
      </c>
      <c r="V218" s="3" t="s">
        <v>785</v>
      </c>
      <c r="W218" s="3">
        <v>0.05</v>
      </c>
      <c r="X218" s="3">
        <v>10.990307899999999</v>
      </c>
      <c r="Y218" s="3">
        <v>76.929195100000001</v>
      </c>
      <c r="Z218" s="3">
        <v>9677553379</v>
      </c>
    </row>
    <row r="219" spans="1:26" ht="15" customHeight="1" x14ac:dyDescent="0.25">
      <c r="A219" s="3" t="s">
        <v>786</v>
      </c>
      <c r="B219" s="3">
        <f>COUNTIFS(Sheet1!B:B,'Entities table_CCMS Panel View'!A219)</f>
        <v>0</v>
      </c>
      <c r="C219" s="3" t="s">
        <v>26</v>
      </c>
      <c r="D219" s="3" t="s">
        <v>27</v>
      </c>
      <c r="E219" s="3" t="s">
        <v>72</v>
      </c>
      <c r="F219" s="3">
        <v>216.77</v>
      </c>
      <c r="G219" s="3">
        <v>0</v>
      </c>
      <c r="H219" s="3">
        <v>0</v>
      </c>
      <c r="I219" s="3">
        <v>0.05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1"/>
      <c r="P219" s="3" t="s">
        <v>29</v>
      </c>
      <c r="Q219" s="3" t="s">
        <v>30</v>
      </c>
      <c r="R219" s="3" t="s">
        <v>42</v>
      </c>
      <c r="S219" s="3" t="s">
        <v>787</v>
      </c>
      <c r="T219" s="3">
        <v>5755183070867</v>
      </c>
      <c r="U219" s="3">
        <v>1455</v>
      </c>
      <c r="V219" s="3" t="s">
        <v>788</v>
      </c>
      <c r="W219" s="3">
        <v>0.05</v>
      </c>
      <c r="X219" s="3">
        <v>10.9779976</v>
      </c>
      <c r="Y219" s="3">
        <v>76.961600000000004</v>
      </c>
      <c r="Z219" s="3">
        <v>9677553379</v>
      </c>
    </row>
    <row r="220" spans="1:26" ht="15" hidden="1" customHeight="1" x14ac:dyDescent="0.25">
      <c r="A220" s="3" t="s">
        <v>789</v>
      </c>
      <c r="B220" s="3">
        <f>COUNTIFS(Sheet1!B:B,'Entities table_CCMS Panel View'!A220)</f>
        <v>1</v>
      </c>
      <c r="C220" s="3" t="s">
        <v>26</v>
      </c>
      <c r="D220" s="3" t="s">
        <v>27</v>
      </c>
      <c r="E220" s="3" t="s">
        <v>790</v>
      </c>
      <c r="F220" s="3">
        <v>226.06</v>
      </c>
      <c r="G220" s="3">
        <v>0</v>
      </c>
      <c r="H220" s="3">
        <v>0</v>
      </c>
      <c r="I220" s="3">
        <v>0.05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 t="s">
        <v>479</v>
      </c>
      <c r="P220" s="3" t="s">
        <v>179</v>
      </c>
      <c r="Q220" s="3" t="s">
        <v>30</v>
      </c>
      <c r="R220" s="3" t="s">
        <v>37</v>
      </c>
      <c r="S220" s="3" t="s">
        <v>791</v>
      </c>
      <c r="T220" s="3">
        <v>5755183072870</v>
      </c>
      <c r="U220" s="3">
        <v>1498</v>
      </c>
      <c r="V220" s="3" t="s">
        <v>792</v>
      </c>
      <c r="W220" s="3">
        <v>0.05</v>
      </c>
      <c r="X220" s="3">
        <v>10.990561400000001</v>
      </c>
      <c r="Y220" s="3">
        <v>76.942902500000002</v>
      </c>
      <c r="Z220" s="3">
        <v>9677553379</v>
      </c>
    </row>
    <row r="221" spans="1:26" ht="15" hidden="1" customHeight="1" x14ac:dyDescent="0.25">
      <c r="A221" s="3" t="s">
        <v>793</v>
      </c>
      <c r="B221" s="3">
        <f>COUNTIFS(Sheet1!B:B,'Entities table_CCMS Panel View'!A221)</f>
        <v>1</v>
      </c>
      <c r="C221" s="3" t="s">
        <v>26</v>
      </c>
      <c r="D221" s="3" t="s">
        <v>27</v>
      </c>
      <c r="E221" s="3" t="s">
        <v>357</v>
      </c>
      <c r="F221" s="3">
        <v>223.75</v>
      </c>
      <c r="G221" s="3">
        <v>0</v>
      </c>
      <c r="H221" s="3">
        <v>0</v>
      </c>
      <c r="I221" s="3">
        <v>0.05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1"/>
      <c r="P221" s="3" t="s">
        <v>29</v>
      </c>
      <c r="Q221" s="3" t="s">
        <v>30</v>
      </c>
      <c r="R221" s="3" t="s">
        <v>31</v>
      </c>
      <c r="S221" s="3" t="s">
        <v>794</v>
      </c>
      <c r="T221" s="3">
        <v>5755183072060</v>
      </c>
      <c r="U221" s="3">
        <v>1714</v>
      </c>
      <c r="V221" s="3" t="s">
        <v>795</v>
      </c>
      <c r="W221" s="3">
        <v>0.05</v>
      </c>
      <c r="X221" s="3">
        <v>10.994550800000001</v>
      </c>
      <c r="Y221" s="3">
        <v>76.929939899999994</v>
      </c>
      <c r="Z221" s="3">
        <v>9080911740</v>
      </c>
    </row>
    <row r="222" spans="1:26" ht="15" hidden="1" customHeight="1" x14ac:dyDescent="0.25">
      <c r="A222" s="3" t="s">
        <v>796</v>
      </c>
      <c r="B222" s="3">
        <f>COUNTIFS(Sheet1!B:B,'Entities table_CCMS Panel View'!A222)</f>
        <v>1</v>
      </c>
      <c r="C222" s="3" t="s">
        <v>26</v>
      </c>
      <c r="D222" s="3" t="s">
        <v>27</v>
      </c>
      <c r="E222" s="3" t="s">
        <v>113</v>
      </c>
      <c r="F222" s="3">
        <v>212.35</v>
      </c>
      <c r="G222" s="3">
        <v>0</v>
      </c>
      <c r="H222" s="3">
        <v>0</v>
      </c>
      <c r="I222" s="3">
        <v>0.05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 t="s">
        <v>48</v>
      </c>
      <c r="P222" s="3" t="s">
        <v>29</v>
      </c>
      <c r="Q222" s="3" t="s">
        <v>30</v>
      </c>
      <c r="R222" s="3" t="s">
        <v>108</v>
      </c>
      <c r="S222" s="3" t="s">
        <v>797</v>
      </c>
      <c r="T222" s="3">
        <v>5755183071054</v>
      </c>
      <c r="U222" s="3">
        <v>638</v>
      </c>
      <c r="V222" s="3" t="s">
        <v>798</v>
      </c>
      <c r="W222" s="3">
        <v>0.05</v>
      </c>
      <c r="X222" s="3">
        <v>10.987216399999999</v>
      </c>
      <c r="Y222" s="3">
        <v>76.940988000000004</v>
      </c>
      <c r="Z222" s="3">
        <v>9677553379</v>
      </c>
    </row>
    <row r="223" spans="1:26" ht="15" hidden="1" customHeight="1" x14ac:dyDescent="0.25">
      <c r="A223" s="3" t="s">
        <v>799</v>
      </c>
      <c r="B223" s="3">
        <f>COUNTIFS(Sheet1!B:B,'Entities table_CCMS Panel View'!A223)</f>
        <v>1</v>
      </c>
      <c r="C223" s="3" t="s">
        <v>26</v>
      </c>
      <c r="D223" s="3" t="s">
        <v>27</v>
      </c>
      <c r="E223" s="3" t="s">
        <v>800</v>
      </c>
      <c r="F223" s="3">
        <v>230.28</v>
      </c>
      <c r="G223" s="3">
        <v>0</v>
      </c>
      <c r="H223" s="3">
        <v>0</v>
      </c>
      <c r="I223" s="3">
        <v>0.08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1"/>
      <c r="P223" s="3" t="s">
        <v>29</v>
      </c>
      <c r="Q223" s="3" t="s">
        <v>30</v>
      </c>
      <c r="R223" s="3" t="s">
        <v>31</v>
      </c>
      <c r="S223" s="3" t="s">
        <v>801</v>
      </c>
      <c r="T223" s="3">
        <v>5755183072066</v>
      </c>
      <c r="U223" s="3">
        <v>1626</v>
      </c>
      <c r="V223" s="3" t="s">
        <v>802</v>
      </c>
      <c r="W223" s="3">
        <v>0.08</v>
      </c>
      <c r="X223" s="3">
        <v>10.9840088</v>
      </c>
      <c r="Y223" s="3">
        <v>76.932730699999993</v>
      </c>
      <c r="Z223" s="3">
        <v>8667729030</v>
      </c>
    </row>
    <row r="224" spans="1:26" ht="15" hidden="1" customHeight="1" x14ac:dyDescent="0.25">
      <c r="A224" s="3" t="s">
        <v>803</v>
      </c>
      <c r="B224" s="3">
        <f>COUNTIFS(Sheet1!B:B,'Entities table_CCMS Panel View'!A224)</f>
        <v>1</v>
      </c>
      <c r="C224" s="3" t="s">
        <v>26</v>
      </c>
      <c r="D224" s="3" t="s">
        <v>27</v>
      </c>
      <c r="E224" s="3" t="s">
        <v>804</v>
      </c>
      <c r="F224" s="3">
        <v>213.72</v>
      </c>
      <c r="G224" s="3">
        <v>0</v>
      </c>
      <c r="H224" s="3">
        <v>0</v>
      </c>
      <c r="I224" s="3">
        <v>0.05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1"/>
      <c r="P224" s="3" t="s">
        <v>29</v>
      </c>
      <c r="Q224" s="3" t="s">
        <v>30</v>
      </c>
      <c r="R224" s="3" t="s">
        <v>108</v>
      </c>
      <c r="S224" s="3" t="s">
        <v>805</v>
      </c>
      <c r="T224" s="3">
        <v>5755183072871</v>
      </c>
      <c r="U224" s="3">
        <v>446</v>
      </c>
      <c r="V224" s="3" t="s">
        <v>806</v>
      </c>
      <c r="W224" s="3">
        <v>0.04</v>
      </c>
      <c r="X224" s="3">
        <v>10.985372699999999</v>
      </c>
      <c r="Y224" s="3">
        <v>76.935389400000005</v>
      </c>
      <c r="Z224" s="3">
        <v>8667729030</v>
      </c>
    </row>
    <row r="225" spans="1:26" ht="15" hidden="1" customHeight="1" x14ac:dyDescent="0.25">
      <c r="A225" s="3" t="s">
        <v>807</v>
      </c>
      <c r="B225" s="3">
        <f>COUNTIFS(Sheet1!B:B,'Entities table_CCMS Panel View'!A225)</f>
        <v>1</v>
      </c>
      <c r="C225" s="3" t="s">
        <v>26</v>
      </c>
      <c r="D225" s="3" t="s">
        <v>27</v>
      </c>
      <c r="E225" s="3" t="s">
        <v>600</v>
      </c>
      <c r="F225" s="3">
        <v>226.37</v>
      </c>
      <c r="G225" s="3">
        <v>0</v>
      </c>
      <c r="H225" s="3">
        <v>0</v>
      </c>
      <c r="I225" s="3">
        <v>7.0000000000000007E-2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1"/>
      <c r="P225" s="3" t="s">
        <v>29</v>
      </c>
      <c r="Q225" s="3" t="s">
        <v>30</v>
      </c>
      <c r="R225" s="3" t="s">
        <v>31</v>
      </c>
      <c r="S225" s="3" t="s">
        <v>808</v>
      </c>
      <c r="T225" s="3">
        <v>5755183073261</v>
      </c>
      <c r="U225" s="3">
        <v>1716</v>
      </c>
      <c r="V225" s="3" t="s">
        <v>809</v>
      </c>
      <c r="W225" s="3">
        <v>7.0000000000000007E-2</v>
      </c>
      <c r="X225" s="3">
        <v>10.993241299999999</v>
      </c>
      <c r="Y225" s="3">
        <v>76.929574700000003</v>
      </c>
      <c r="Z225" s="3">
        <v>9080911740</v>
      </c>
    </row>
    <row r="226" spans="1:26" ht="15" customHeight="1" x14ac:dyDescent="0.25">
      <c r="A226" s="3" t="s">
        <v>810</v>
      </c>
      <c r="B226" s="3">
        <f>COUNTIFS(Sheet1!B:B,'Entities table_CCMS Panel View'!A226)</f>
        <v>0</v>
      </c>
      <c r="C226" s="3" t="s">
        <v>26</v>
      </c>
      <c r="D226" s="3" t="s">
        <v>27</v>
      </c>
      <c r="E226" s="3" t="s">
        <v>64</v>
      </c>
      <c r="F226" s="3">
        <v>223.13</v>
      </c>
      <c r="G226" s="3">
        <v>0</v>
      </c>
      <c r="H226" s="3">
        <v>0</v>
      </c>
      <c r="I226" s="3">
        <v>0.05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 t="s">
        <v>706</v>
      </c>
      <c r="P226" s="3" t="s">
        <v>29</v>
      </c>
      <c r="Q226" s="3" t="s">
        <v>30</v>
      </c>
      <c r="R226" s="3" t="s">
        <v>108</v>
      </c>
      <c r="S226" s="3" t="s">
        <v>811</v>
      </c>
      <c r="T226" s="3">
        <v>5755183073108</v>
      </c>
      <c r="U226" s="1"/>
      <c r="V226" s="3" t="s">
        <v>812</v>
      </c>
      <c r="W226" s="3">
        <v>0.05</v>
      </c>
      <c r="X226" s="3">
        <v>10.9842359</v>
      </c>
      <c r="Y226" s="3">
        <v>76.936641899999998</v>
      </c>
      <c r="Z226" s="3">
        <v>8667729030</v>
      </c>
    </row>
    <row r="227" spans="1:26" ht="15" hidden="1" customHeight="1" x14ac:dyDescent="0.25">
      <c r="A227" s="3" t="s">
        <v>813</v>
      </c>
      <c r="B227" s="3">
        <f>COUNTIFS(Sheet1!B:B,'Entities table_CCMS Panel View'!A227)</f>
        <v>1</v>
      </c>
      <c r="C227" s="3" t="s">
        <v>26</v>
      </c>
      <c r="D227" s="3" t="s">
        <v>27</v>
      </c>
      <c r="E227" s="3" t="s">
        <v>64</v>
      </c>
      <c r="F227" s="3">
        <v>224.68</v>
      </c>
      <c r="G227" s="3">
        <v>0</v>
      </c>
      <c r="H227" s="3">
        <v>0</v>
      </c>
      <c r="I227" s="3">
        <v>0.05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1"/>
      <c r="P227" s="3" t="s">
        <v>29</v>
      </c>
      <c r="Q227" s="3" t="s">
        <v>30</v>
      </c>
      <c r="R227" s="3" t="s">
        <v>42</v>
      </c>
      <c r="S227" s="3" t="s">
        <v>814</v>
      </c>
      <c r="T227" s="3">
        <v>5755183072749</v>
      </c>
      <c r="U227" s="3">
        <v>1356</v>
      </c>
      <c r="V227" s="3" t="s">
        <v>815</v>
      </c>
      <c r="W227" s="3">
        <v>0.05</v>
      </c>
      <c r="X227" s="3">
        <v>10.986244599999999</v>
      </c>
      <c r="Y227" s="3">
        <v>76.965267800000007</v>
      </c>
      <c r="Z227" s="3">
        <v>9677553379</v>
      </c>
    </row>
    <row r="228" spans="1:26" ht="15" hidden="1" customHeight="1" x14ac:dyDescent="0.25">
      <c r="A228" s="3" t="s">
        <v>816</v>
      </c>
      <c r="B228" s="3">
        <f>COUNTIFS(Sheet1!B:B,'Entities table_CCMS Panel View'!A228)</f>
        <v>1</v>
      </c>
      <c r="C228" s="3" t="s">
        <v>26</v>
      </c>
      <c r="D228" s="3" t="s">
        <v>27</v>
      </c>
      <c r="E228" s="3" t="s">
        <v>817</v>
      </c>
      <c r="F228" s="3">
        <v>226.02</v>
      </c>
      <c r="G228" s="3">
        <v>0</v>
      </c>
      <c r="H228" s="3">
        <v>0</v>
      </c>
      <c r="I228" s="3">
        <v>0.04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1"/>
      <c r="P228" s="3" t="s">
        <v>29</v>
      </c>
      <c r="Q228" s="3" t="s">
        <v>30</v>
      </c>
      <c r="R228" s="3" t="s">
        <v>37</v>
      </c>
      <c r="S228" s="3" t="s">
        <v>818</v>
      </c>
      <c r="T228" s="3">
        <v>5755183200643</v>
      </c>
      <c r="U228" s="3">
        <v>1235</v>
      </c>
      <c r="V228" s="3" t="s">
        <v>819</v>
      </c>
      <c r="W228" s="3">
        <v>0.04</v>
      </c>
      <c r="X228" s="3">
        <v>10.989350999999999</v>
      </c>
      <c r="Y228" s="3">
        <v>76.944602200000006</v>
      </c>
      <c r="Z228" s="3">
        <v>9677553379</v>
      </c>
    </row>
    <row r="229" spans="1:26" ht="15" hidden="1" customHeight="1" x14ac:dyDescent="0.25">
      <c r="A229" s="3" t="s">
        <v>820</v>
      </c>
      <c r="B229" s="3">
        <f>COUNTIFS(Sheet1!B:B,'Entities table_CCMS Panel View'!A229)</f>
        <v>1</v>
      </c>
      <c r="C229" s="3" t="s">
        <v>26</v>
      </c>
      <c r="D229" s="3" t="s">
        <v>27</v>
      </c>
      <c r="E229" s="3" t="s">
        <v>821</v>
      </c>
      <c r="F229" s="3">
        <v>235.29</v>
      </c>
      <c r="G229" s="3">
        <v>0</v>
      </c>
      <c r="H229" s="3">
        <v>0</v>
      </c>
      <c r="I229" s="3">
        <v>0.05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1"/>
      <c r="P229" s="3" t="s">
        <v>29</v>
      </c>
      <c r="Q229" s="3" t="s">
        <v>30</v>
      </c>
      <c r="R229" s="3" t="s">
        <v>31</v>
      </c>
      <c r="S229" s="3" t="s">
        <v>455</v>
      </c>
      <c r="T229" s="3">
        <v>5755183060489</v>
      </c>
      <c r="U229" s="3">
        <v>1682</v>
      </c>
      <c r="V229" s="3" t="s">
        <v>822</v>
      </c>
      <c r="W229" s="3">
        <v>0.04</v>
      </c>
      <c r="X229" s="3">
        <v>10.9966747</v>
      </c>
      <c r="Y229" s="3">
        <v>76.930467199999995</v>
      </c>
      <c r="Z229" s="3">
        <v>9080911740</v>
      </c>
    </row>
    <row r="230" spans="1:26" ht="15" hidden="1" customHeight="1" x14ac:dyDescent="0.25">
      <c r="A230" s="3" t="s">
        <v>823</v>
      </c>
      <c r="B230" s="3">
        <f>COUNTIFS(Sheet1!B:B,'Entities table_CCMS Panel View'!A230)</f>
        <v>1</v>
      </c>
      <c r="C230" s="3" t="s">
        <v>26</v>
      </c>
      <c r="D230" s="3" t="s">
        <v>27</v>
      </c>
      <c r="E230" s="3" t="s">
        <v>72</v>
      </c>
      <c r="F230" s="3">
        <v>225.68</v>
      </c>
      <c r="G230" s="3">
        <v>0</v>
      </c>
      <c r="H230" s="3">
        <v>0</v>
      </c>
      <c r="I230" s="3">
        <v>0.05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1"/>
      <c r="P230" s="3" t="s">
        <v>29</v>
      </c>
      <c r="Q230" s="3" t="s">
        <v>30</v>
      </c>
      <c r="R230" s="3" t="s">
        <v>37</v>
      </c>
      <c r="S230" s="3" t="s">
        <v>824</v>
      </c>
      <c r="T230" s="3">
        <v>5755183073309</v>
      </c>
      <c r="U230" s="3">
        <v>616</v>
      </c>
      <c r="V230" s="3" t="s">
        <v>825</v>
      </c>
      <c r="W230" s="3">
        <v>0.05</v>
      </c>
      <c r="X230" s="3">
        <v>10.990723300000001</v>
      </c>
      <c r="Y230" s="3">
        <v>76.941577100000003</v>
      </c>
      <c r="Z230" s="3">
        <v>9677553379</v>
      </c>
    </row>
    <row r="231" spans="1:26" ht="15" hidden="1" customHeight="1" x14ac:dyDescent="0.25">
      <c r="A231" s="3" t="s">
        <v>826</v>
      </c>
      <c r="B231" s="3">
        <f>COUNTIFS(Sheet1!B:B,'Entities table_CCMS Panel View'!A231)</f>
        <v>1</v>
      </c>
      <c r="C231" s="3" t="s">
        <v>26</v>
      </c>
      <c r="D231" s="3" t="s">
        <v>27</v>
      </c>
      <c r="E231" s="3" t="s">
        <v>260</v>
      </c>
      <c r="F231" s="3">
        <v>228</v>
      </c>
      <c r="G231" s="3">
        <v>0</v>
      </c>
      <c r="H231" s="3">
        <v>0</v>
      </c>
      <c r="I231" s="3">
        <v>0.09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 t="s">
        <v>479</v>
      </c>
      <c r="P231" s="3" t="s">
        <v>179</v>
      </c>
      <c r="Q231" s="3" t="s">
        <v>30</v>
      </c>
      <c r="R231" s="3" t="s">
        <v>108</v>
      </c>
      <c r="S231" s="3" t="s">
        <v>827</v>
      </c>
      <c r="T231" s="3">
        <v>5755183073424</v>
      </c>
      <c r="U231" s="3">
        <v>5613</v>
      </c>
      <c r="V231" s="3" t="s">
        <v>828</v>
      </c>
      <c r="W231" s="3">
        <v>0.09</v>
      </c>
      <c r="X231" s="3">
        <v>11.045625599999999</v>
      </c>
      <c r="Y231" s="3">
        <v>76.979930999999993</v>
      </c>
      <c r="Z231" s="3">
        <v>7010714596</v>
      </c>
    </row>
    <row r="232" spans="1:26" ht="15" hidden="1" customHeight="1" x14ac:dyDescent="0.25">
      <c r="A232" s="3" t="s">
        <v>829</v>
      </c>
      <c r="B232" s="3">
        <f>COUNTIFS(Sheet1!B:B,'Entities table_CCMS Panel View'!A232)</f>
        <v>1</v>
      </c>
      <c r="C232" s="3" t="s">
        <v>26</v>
      </c>
      <c r="D232" s="3" t="s">
        <v>27</v>
      </c>
      <c r="E232" s="3" t="s">
        <v>55</v>
      </c>
      <c r="F232" s="3">
        <v>226.27</v>
      </c>
      <c r="G232" s="3">
        <v>0</v>
      </c>
      <c r="H232" s="3">
        <v>0</v>
      </c>
      <c r="I232" s="3">
        <v>0.05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1"/>
      <c r="P232" s="3" t="s">
        <v>29</v>
      </c>
      <c r="Q232" s="3" t="s">
        <v>30</v>
      </c>
      <c r="R232" s="3" t="s">
        <v>108</v>
      </c>
      <c r="S232" s="3" t="s">
        <v>830</v>
      </c>
      <c r="T232" s="1"/>
      <c r="U232" s="1"/>
      <c r="V232" s="3" t="s">
        <v>831</v>
      </c>
      <c r="W232" s="3">
        <v>0.05</v>
      </c>
      <c r="X232" s="3">
        <v>10.9832576</v>
      </c>
      <c r="Y232" s="3">
        <v>76.943314099999995</v>
      </c>
      <c r="Z232" s="3" t="s">
        <v>34</v>
      </c>
    </row>
    <row r="233" spans="1:26" ht="15" hidden="1" customHeight="1" x14ac:dyDescent="0.25">
      <c r="A233" s="3" t="s">
        <v>832</v>
      </c>
      <c r="B233" s="3">
        <f>COUNTIFS(Sheet1!B:B,'Entities table_CCMS Panel View'!A233)</f>
        <v>1</v>
      </c>
      <c r="C233" s="3" t="s">
        <v>26</v>
      </c>
      <c r="D233" s="3" t="s">
        <v>27</v>
      </c>
      <c r="E233" s="3" t="s">
        <v>107</v>
      </c>
      <c r="F233" s="3">
        <v>226.34</v>
      </c>
      <c r="G233" s="3">
        <v>0</v>
      </c>
      <c r="H233" s="3">
        <v>0</v>
      </c>
      <c r="I233" s="3">
        <v>0.05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1"/>
      <c r="P233" s="3" t="s">
        <v>29</v>
      </c>
      <c r="Q233" s="3" t="s">
        <v>30</v>
      </c>
      <c r="R233" s="3" t="s">
        <v>108</v>
      </c>
      <c r="S233" s="3" t="s">
        <v>833</v>
      </c>
      <c r="T233" s="3">
        <v>5755183074697</v>
      </c>
      <c r="U233" s="1"/>
      <c r="V233" s="3" t="s">
        <v>834</v>
      </c>
      <c r="W233" s="3">
        <v>0.05</v>
      </c>
      <c r="X233" s="3">
        <v>10.9866449</v>
      </c>
      <c r="Y233" s="3">
        <v>76.941422000000003</v>
      </c>
      <c r="Z233" s="3" t="s">
        <v>34</v>
      </c>
    </row>
    <row r="234" spans="1:26" ht="15" hidden="1" customHeight="1" x14ac:dyDescent="0.25">
      <c r="A234" s="3" t="s">
        <v>835</v>
      </c>
      <c r="B234" s="3">
        <f>COUNTIFS(Sheet1!B:B,'Entities table_CCMS Panel View'!A234)</f>
        <v>1</v>
      </c>
      <c r="C234" s="3" t="s">
        <v>26</v>
      </c>
      <c r="D234" s="3" t="s">
        <v>27</v>
      </c>
      <c r="E234" s="3" t="s">
        <v>55</v>
      </c>
      <c r="F234" s="3">
        <v>231.34</v>
      </c>
      <c r="G234" s="3">
        <v>0</v>
      </c>
      <c r="H234" s="3">
        <v>0</v>
      </c>
      <c r="I234" s="3">
        <v>0.05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1"/>
      <c r="P234" s="3" t="s">
        <v>29</v>
      </c>
      <c r="Q234" s="3" t="s">
        <v>30</v>
      </c>
      <c r="R234" s="3" t="s">
        <v>42</v>
      </c>
      <c r="S234" s="3" t="s">
        <v>836</v>
      </c>
      <c r="T234" s="1"/>
      <c r="U234" s="1"/>
      <c r="V234" s="3" t="s">
        <v>837</v>
      </c>
      <c r="W234" s="3">
        <v>0.05</v>
      </c>
      <c r="X234" s="3">
        <v>10.977774</v>
      </c>
      <c r="Y234" s="3">
        <v>76.954109599999995</v>
      </c>
      <c r="Z234" s="3" t="s">
        <v>34</v>
      </c>
    </row>
    <row r="235" spans="1:26" ht="15" hidden="1" customHeight="1" x14ac:dyDescent="0.25">
      <c r="A235" s="3" t="s">
        <v>838</v>
      </c>
      <c r="B235" s="3">
        <f>COUNTIFS(Sheet1!B:B,'Entities table_CCMS Panel View'!A235)</f>
        <v>1</v>
      </c>
      <c r="C235" s="3" t="s">
        <v>26</v>
      </c>
      <c r="D235" s="3" t="s">
        <v>27</v>
      </c>
      <c r="E235" s="3" t="s">
        <v>404</v>
      </c>
      <c r="F235" s="3">
        <v>227.36</v>
      </c>
      <c r="G235" s="3">
        <v>0</v>
      </c>
      <c r="H235" s="3">
        <v>0</v>
      </c>
      <c r="I235" s="3">
        <v>0.05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1"/>
      <c r="P235" s="3" t="s">
        <v>29</v>
      </c>
      <c r="Q235" s="3" t="s">
        <v>30</v>
      </c>
      <c r="R235" s="3" t="s">
        <v>37</v>
      </c>
      <c r="S235" s="3" t="s">
        <v>839</v>
      </c>
      <c r="T235" s="1"/>
      <c r="U235" s="1"/>
      <c r="V235" s="3" t="s">
        <v>840</v>
      </c>
      <c r="W235" s="3">
        <v>0.05</v>
      </c>
      <c r="X235" s="3">
        <v>10.991176899999999</v>
      </c>
      <c r="Y235" s="3">
        <v>76.944418999999996</v>
      </c>
      <c r="Z235" s="3" t="s">
        <v>34</v>
      </c>
    </row>
    <row r="236" spans="1:26" ht="15" hidden="1" customHeight="1" x14ac:dyDescent="0.25">
      <c r="A236" s="3" t="s">
        <v>841</v>
      </c>
      <c r="B236" s="3">
        <f>COUNTIFS(Sheet1!B:B,'Entities table_CCMS Panel View'!A236)</f>
        <v>1</v>
      </c>
      <c r="C236" s="3" t="s">
        <v>26</v>
      </c>
      <c r="D236" s="3" t="s">
        <v>27</v>
      </c>
      <c r="E236" s="3" t="s">
        <v>59</v>
      </c>
      <c r="F236" s="3">
        <v>226.62</v>
      </c>
      <c r="G236" s="3">
        <v>0</v>
      </c>
      <c r="H236" s="3">
        <v>0</v>
      </c>
      <c r="I236" s="3">
        <v>0.05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1"/>
      <c r="P236" s="3" t="s">
        <v>29</v>
      </c>
      <c r="Q236" s="3" t="s">
        <v>30</v>
      </c>
      <c r="R236" s="3" t="s">
        <v>42</v>
      </c>
      <c r="S236" s="3" t="s">
        <v>842</v>
      </c>
      <c r="T236" s="1"/>
      <c r="U236" s="1"/>
      <c r="V236" s="3" t="s">
        <v>843</v>
      </c>
      <c r="W236" s="3">
        <v>0.05</v>
      </c>
      <c r="X236" s="3">
        <v>10.979335300000001</v>
      </c>
      <c r="Y236" s="3">
        <v>76.9636517</v>
      </c>
      <c r="Z236" s="3" t="s">
        <v>34</v>
      </c>
    </row>
    <row r="237" spans="1:26" ht="15" hidden="1" customHeight="1" x14ac:dyDescent="0.25">
      <c r="A237" s="3" t="s">
        <v>844</v>
      </c>
      <c r="B237" s="3">
        <f>COUNTIFS(Sheet1!B:B,'Entities table_CCMS Panel View'!A237)</f>
        <v>1</v>
      </c>
      <c r="C237" s="3" t="s">
        <v>26</v>
      </c>
      <c r="D237" s="3" t="s">
        <v>27</v>
      </c>
      <c r="E237" s="3" t="s">
        <v>113</v>
      </c>
      <c r="F237" s="3">
        <v>222.29</v>
      </c>
      <c r="G237" s="3">
        <v>0</v>
      </c>
      <c r="H237" s="3">
        <v>0</v>
      </c>
      <c r="I237" s="3">
        <v>0.05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1"/>
      <c r="P237" s="3" t="s">
        <v>29</v>
      </c>
      <c r="Q237" s="3" t="s">
        <v>30</v>
      </c>
      <c r="R237" s="3" t="s">
        <v>37</v>
      </c>
      <c r="S237" s="3" t="s">
        <v>38</v>
      </c>
      <c r="T237" s="3">
        <v>5755183039489</v>
      </c>
      <c r="U237" s="1"/>
      <c r="V237" s="3" t="s">
        <v>845</v>
      </c>
      <c r="W237" s="3">
        <v>0.05</v>
      </c>
      <c r="X237" s="3">
        <v>10.991448500000001</v>
      </c>
      <c r="Y237" s="3">
        <v>76.944647399999994</v>
      </c>
      <c r="Z237" s="3" t="s">
        <v>34</v>
      </c>
    </row>
    <row r="238" spans="1:26" ht="15" customHeight="1" x14ac:dyDescent="0.25">
      <c r="A238" s="3" t="s">
        <v>846</v>
      </c>
      <c r="B238" s="3">
        <f>COUNTIFS(Sheet1!B:B,'Entities table_CCMS Panel View'!A238)</f>
        <v>0</v>
      </c>
      <c r="C238" s="3" t="s">
        <v>26</v>
      </c>
      <c r="D238" s="3" t="s">
        <v>27</v>
      </c>
      <c r="E238" s="3" t="s">
        <v>123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 t="s">
        <v>145</v>
      </c>
      <c r="P238" s="3" t="s">
        <v>29</v>
      </c>
      <c r="Q238" s="3" t="s">
        <v>30</v>
      </c>
      <c r="R238" s="3" t="s">
        <v>42</v>
      </c>
      <c r="S238" s="3" t="s">
        <v>847</v>
      </c>
      <c r="T238" s="3">
        <v>5755183236155</v>
      </c>
      <c r="U238" s="1"/>
      <c r="V238" s="3" t="s">
        <v>848</v>
      </c>
      <c r="W238" s="3">
        <v>0</v>
      </c>
      <c r="X238" s="3">
        <v>10.982192</v>
      </c>
      <c r="Y238" s="3">
        <v>76.969008000000002</v>
      </c>
      <c r="Z238" s="3" t="s">
        <v>34</v>
      </c>
    </row>
    <row r="239" spans="1:26" ht="15" hidden="1" customHeight="1" x14ac:dyDescent="0.25">
      <c r="A239" s="3" t="s">
        <v>849</v>
      </c>
      <c r="B239" s="3">
        <f>COUNTIFS(Sheet1!B:B,'Entities table_CCMS Panel View'!A239)</f>
        <v>1</v>
      </c>
      <c r="C239" s="3" t="s">
        <v>26</v>
      </c>
      <c r="D239" s="3" t="s">
        <v>27</v>
      </c>
      <c r="E239" s="3" t="s">
        <v>41</v>
      </c>
      <c r="F239" s="3">
        <v>220.87</v>
      </c>
      <c r="G239" s="3">
        <v>0</v>
      </c>
      <c r="H239" s="3">
        <v>0</v>
      </c>
      <c r="I239" s="3">
        <v>0.06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 t="s">
        <v>850</v>
      </c>
      <c r="P239" s="3" t="s">
        <v>29</v>
      </c>
      <c r="Q239" s="3" t="s">
        <v>30</v>
      </c>
      <c r="R239" s="3" t="s">
        <v>108</v>
      </c>
      <c r="S239" s="3" t="s">
        <v>851</v>
      </c>
      <c r="T239" s="1"/>
      <c r="U239" s="1"/>
      <c r="V239" s="3" t="s">
        <v>852</v>
      </c>
      <c r="W239" s="3">
        <v>0.06</v>
      </c>
      <c r="X239" s="3">
        <v>10.9836051</v>
      </c>
      <c r="Y239" s="3">
        <v>76.940954399999995</v>
      </c>
      <c r="Z239" s="3" t="s">
        <v>34</v>
      </c>
    </row>
    <row r="240" spans="1:26" ht="15" hidden="1" customHeight="1" x14ac:dyDescent="0.25">
      <c r="A240" s="3" t="s">
        <v>853</v>
      </c>
      <c r="B240" s="3">
        <f>COUNTIFS(Sheet1!B:B,'Entities table_CCMS Panel View'!A240)</f>
        <v>1</v>
      </c>
      <c r="C240" s="3" t="s">
        <v>26</v>
      </c>
      <c r="D240" s="3" t="s">
        <v>27</v>
      </c>
      <c r="E240" s="3" t="s">
        <v>404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 t="s">
        <v>145</v>
      </c>
      <c r="P240" s="3" t="s">
        <v>29</v>
      </c>
      <c r="Q240" s="3" t="s">
        <v>30</v>
      </c>
      <c r="R240" s="3" t="s">
        <v>31</v>
      </c>
      <c r="S240" s="3" t="s">
        <v>854</v>
      </c>
      <c r="T240" s="1"/>
      <c r="U240" s="1"/>
      <c r="V240" s="3" t="s">
        <v>855</v>
      </c>
      <c r="W240" s="3">
        <v>0</v>
      </c>
      <c r="X240" s="3">
        <v>10.990953899999999</v>
      </c>
      <c r="Y240" s="3">
        <v>76.932900099999998</v>
      </c>
      <c r="Z240" s="3" t="s">
        <v>34</v>
      </c>
    </row>
    <row r="241" spans="1:26" ht="15" hidden="1" customHeight="1" x14ac:dyDescent="0.25">
      <c r="A241" s="3" t="s">
        <v>856</v>
      </c>
      <c r="B241" s="3">
        <f>COUNTIFS(Sheet1!B:B,'Entities table_CCMS Panel View'!A241)</f>
        <v>1</v>
      </c>
      <c r="C241" s="3" t="s">
        <v>26</v>
      </c>
      <c r="D241" s="3" t="s">
        <v>27</v>
      </c>
      <c r="E241" s="3" t="s">
        <v>72</v>
      </c>
      <c r="F241" s="3">
        <v>225.63</v>
      </c>
      <c r="G241" s="3">
        <v>0</v>
      </c>
      <c r="H241" s="3">
        <v>0</v>
      </c>
      <c r="I241" s="3">
        <v>0.05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1"/>
      <c r="P241" s="3" t="s">
        <v>29</v>
      </c>
      <c r="Q241" s="3" t="s">
        <v>30</v>
      </c>
      <c r="R241" s="3" t="s">
        <v>37</v>
      </c>
      <c r="S241" s="3" t="s">
        <v>38</v>
      </c>
      <c r="T241" s="3">
        <v>5755183074693</v>
      </c>
      <c r="U241" s="1"/>
      <c r="V241" s="3" t="s">
        <v>857</v>
      </c>
      <c r="W241" s="3">
        <v>0.05</v>
      </c>
      <c r="X241" s="3">
        <v>10.9902286</v>
      </c>
      <c r="Y241" s="3">
        <v>76.942352099999994</v>
      </c>
      <c r="Z241" s="3" t="s">
        <v>34</v>
      </c>
    </row>
    <row r="242" spans="1:26" ht="15" customHeight="1" x14ac:dyDescent="0.25">
      <c r="A242" s="3" t="s">
        <v>858</v>
      </c>
      <c r="B242" s="3">
        <f>COUNTIFS(Sheet1!B:B,'Entities table_CCMS Panel View'!A242)</f>
        <v>0</v>
      </c>
      <c r="C242" s="3" t="s">
        <v>101</v>
      </c>
      <c r="D242" s="3" t="s">
        <v>102</v>
      </c>
      <c r="E242" s="3" t="s">
        <v>859</v>
      </c>
      <c r="F242" s="3">
        <v>240.04</v>
      </c>
      <c r="G242" s="3">
        <v>0</v>
      </c>
      <c r="H242" s="3">
        <v>0</v>
      </c>
      <c r="I242" s="3">
        <v>2.4</v>
      </c>
      <c r="J242" s="3">
        <v>0</v>
      </c>
      <c r="K242" s="3">
        <v>0</v>
      </c>
      <c r="L242" s="3">
        <v>0.56999999999999995</v>
      </c>
      <c r="M242" s="3">
        <v>0</v>
      </c>
      <c r="N242" s="3">
        <v>0</v>
      </c>
      <c r="O242" s="1"/>
      <c r="P242" s="3" t="s">
        <v>29</v>
      </c>
      <c r="Q242" s="3" t="s">
        <v>30</v>
      </c>
      <c r="R242" s="3" t="s">
        <v>108</v>
      </c>
      <c r="S242" s="3" t="s">
        <v>860</v>
      </c>
      <c r="T242" s="3">
        <v>5755183236177</v>
      </c>
      <c r="U242" s="1"/>
      <c r="V242" s="3" t="s">
        <v>861</v>
      </c>
      <c r="W242" s="3">
        <v>0.04</v>
      </c>
      <c r="X242" s="3">
        <v>10.985177500000001</v>
      </c>
      <c r="Y242" s="3">
        <v>76.941679899999997</v>
      </c>
      <c r="Z242" s="3" t="s">
        <v>34</v>
      </c>
    </row>
    <row r="243" spans="1:26" ht="15" hidden="1" customHeight="1" x14ac:dyDescent="0.25">
      <c r="A243" s="3" t="s">
        <v>862</v>
      </c>
      <c r="B243" s="3">
        <f>COUNTIFS(Sheet1!B:B,'Entities table_CCMS Panel View'!A243)</f>
        <v>1</v>
      </c>
      <c r="C243" s="3" t="s">
        <v>26</v>
      </c>
      <c r="D243" s="3" t="s">
        <v>27</v>
      </c>
      <c r="E243" s="3" t="s">
        <v>59</v>
      </c>
      <c r="F243" s="3">
        <v>228.75</v>
      </c>
      <c r="G243" s="3">
        <v>0</v>
      </c>
      <c r="H243" s="3">
        <v>0</v>
      </c>
      <c r="I243" s="3">
        <v>0.05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1"/>
      <c r="P243" s="3" t="s">
        <v>29</v>
      </c>
      <c r="Q243" s="3" t="s">
        <v>30</v>
      </c>
      <c r="R243" s="3" t="s">
        <v>42</v>
      </c>
      <c r="S243" s="3" t="s">
        <v>863</v>
      </c>
      <c r="T243" s="1"/>
      <c r="U243" s="1"/>
      <c r="V243" s="3" t="s">
        <v>864</v>
      </c>
      <c r="W243" s="3">
        <v>0.05</v>
      </c>
      <c r="X243" s="3">
        <v>10.988505699999999</v>
      </c>
      <c r="Y243" s="3">
        <v>76.967344699999998</v>
      </c>
      <c r="Z243" s="3" t="s">
        <v>34</v>
      </c>
    </row>
    <row r="244" spans="1:26" ht="15" hidden="1" customHeight="1" x14ac:dyDescent="0.25">
      <c r="A244" s="3" t="s">
        <v>865</v>
      </c>
      <c r="B244" s="3">
        <f>COUNTIFS(Sheet1!B:B,'Entities table_CCMS Panel View'!A244)</f>
        <v>1</v>
      </c>
      <c r="C244" s="3" t="s">
        <v>26</v>
      </c>
      <c r="D244" s="3" t="s">
        <v>27</v>
      </c>
      <c r="E244" s="3" t="s">
        <v>55</v>
      </c>
      <c r="F244" s="3">
        <v>224.32</v>
      </c>
      <c r="G244" s="3">
        <v>0</v>
      </c>
      <c r="H244" s="3">
        <v>0</v>
      </c>
      <c r="I244" s="3">
        <v>0.05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1"/>
      <c r="P244" s="3" t="s">
        <v>29</v>
      </c>
      <c r="Q244" s="3" t="s">
        <v>30</v>
      </c>
      <c r="R244" s="3" t="s">
        <v>42</v>
      </c>
      <c r="S244" s="3" t="s">
        <v>866</v>
      </c>
      <c r="T244" s="1"/>
      <c r="U244" s="1"/>
      <c r="V244" s="3" t="s">
        <v>867</v>
      </c>
      <c r="W244" s="3">
        <v>0.05</v>
      </c>
      <c r="X244" s="3">
        <v>10.981666799999999</v>
      </c>
      <c r="Y244" s="3">
        <v>76.966103599999997</v>
      </c>
      <c r="Z244" s="3" t="s">
        <v>34</v>
      </c>
    </row>
    <row r="245" spans="1:26" ht="15" hidden="1" customHeight="1" x14ac:dyDescent="0.25">
      <c r="A245" s="3" t="s">
        <v>868</v>
      </c>
      <c r="B245" s="3">
        <f>COUNTIFS(Sheet1!B:B,'Entities table_CCMS Panel View'!A245)</f>
        <v>1</v>
      </c>
      <c r="C245" s="3" t="s">
        <v>26</v>
      </c>
      <c r="D245" s="3" t="s">
        <v>27</v>
      </c>
      <c r="E245" s="3" t="s">
        <v>404</v>
      </c>
      <c r="F245" s="3">
        <v>218.71</v>
      </c>
      <c r="G245" s="3">
        <v>0</v>
      </c>
      <c r="H245" s="3">
        <v>0</v>
      </c>
      <c r="I245" s="3">
        <v>0.06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1"/>
      <c r="P245" s="3" t="s">
        <v>29</v>
      </c>
      <c r="Q245" s="3" t="s">
        <v>30</v>
      </c>
      <c r="R245" s="3" t="s">
        <v>108</v>
      </c>
      <c r="S245" s="3" t="s">
        <v>869</v>
      </c>
      <c r="T245" s="1"/>
      <c r="U245" s="1"/>
      <c r="V245" s="3" t="s">
        <v>870</v>
      </c>
      <c r="W245" s="3">
        <v>0.06</v>
      </c>
      <c r="X245" s="3">
        <v>10.9835628</v>
      </c>
      <c r="Y245" s="3">
        <v>76.939373200000006</v>
      </c>
      <c r="Z245" s="3" t="s">
        <v>34</v>
      </c>
    </row>
    <row r="246" spans="1:26" ht="15" hidden="1" customHeight="1" x14ac:dyDescent="0.25">
      <c r="A246" s="3" t="s">
        <v>871</v>
      </c>
      <c r="B246" s="3">
        <f>COUNTIFS(Sheet1!B:B,'Entities table_CCMS Panel View'!A246)</f>
        <v>1</v>
      </c>
      <c r="C246" s="3" t="s">
        <v>26</v>
      </c>
      <c r="D246" s="3" t="s">
        <v>27</v>
      </c>
      <c r="E246" s="3" t="s">
        <v>872</v>
      </c>
      <c r="F246" s="3">
        <v>231.49</v>
      </c>
      <c r="G246" s="3">
        <v>0</v>
      </c>
      <c r="H246" s="3">
        <v>0</v>
      </c>
      <c r="I246" s="3">
        <v>0.05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1"/>
      <c r="P246" s="3" t="s">
        <v>29</v>
      </c>
      <c r="Q246" s="3" t="s">
        <v>30</v>
      </c>
      <c r="R246" s="3" t="s">
        <v>42</v>
      </c>
      <c r="S246" s="3" t="s">
        <v>873</v>
      </c>
      <c r="T246" s="1"/>
      <c r="U246" s="1"/>
      <c r="V246" s="3" t="s">
        <v>874</v>
      </c>
      <c r="W246" s="3">
        <v>0.05</v>
      </c>
      <c r="X246" s="3">
        <v>10.977730899999999</v>
      </c>
      <c r="Y246" s="3">
        <v>76.954013399999994</v>
      </c>
      <c r="Z246" s="3" t="s">
        <v>34</v>
      </c>
    </row>
    <row r="247" spans="1:26" ht="15" hidden="1" customHeight="1" x14ac:dyDescent="0.25">
      <c r="A247" s="3" t="s">
        <v>875</v>
      </c>
      <c r="B247" s="3">
        <f>COUNTIFS(Sheet1!B:B,'Entities table_CCMS Panel View'!A247)</f>
        <v>1</v>
      </c>
      <c r="C247" s="3" t="s">
        <v>26</v>
      </c>
      <c r="D247" s="3" t="s">
        <v>27</v>
      </c>
      <c r="E247" s="3" t="s">
        <v>876</v>
      </c>
      <c r="F247" s="3">
        <v>231.18</v>
      </c>
      <c r="G247" s="3">
        <v>0</v>
      </c>
      <c r="H247" s="3">
        <v>0</v>
      </c>
      <c r="I247" s="3">
        <v>0.05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1"/>
      <c r="P247" s="3" t="s">
        <v>29</v>
      </c>
      <c r="Q247" s="3" t="s">
        <v>30</v>
      </c>
      <c r="R247" s="3" t="s">
        <v>42</v>
      </c>
      <c r="S247" s="3" t="s">
        <v>877</v>
      </c>
      <c r="T247" s="1"/>
      <c r="U247" s="1"/>
      <c r="V247" s="3" t="s">
        <v>878</v>
      </c>
      <c r="W247" s="3">
        <v>0.05</v>
      </c>
      <c r="X247" s="3">
        <v>10.9818578</v>
      </c>
      <c r="Y247" s="3">
        <v>76.965814499999993</v>
      </c>
      <c r="Z247" s="3" t="s">
        <v>34</v>
      </c>
    </row>
    <row r="248" spans="1:26" ht="15" hidden="1" customHeight="1" x14ac:dyDescent="0.25">
      <c r="A248" s="3" t="s">
        <v>879</v>
      </c>
      <c r="B248" s="3">
        <f>COUNTIFS(Sheet1!B:B,'Entities table_CCMS Panel View'!A248)</f>
        <v>1</v>
      </c>
      <c r="C248" s="3" t="s">
        <v>26</v>
      </c>
      <c r="D248" s="3" t="s">
        <v>27</v>
      </c>
      <c r="E248" s="3" t="s">
        <v>404</v>
      </c>
      <c r="F248" s="3">
        <v>187.69</v>
      </c>
      <c r="G248" s="3">
        <v>0</v>
      </c>
      <c r="H248" s="3">
        <v>0</v>
      </c>
      <c r="I248" s="3">
        <v>0.08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1"/>
      <c r="P248" s="3" t="s">
        <v>29</v>
      </c>
      <c r="Q248" s="3" t="s">
        <v>30</v>
      </c>
      <c r="R248" s="3" t="s">
        <v>31</v>
      </c>
      <c r="S248" s="3" t="s">
        <v>880</v>
      </c>
      <c r="T248" s="1"/>
      <c r="U248" s="1"/>
      <c r="V248" s="3" t="s">
        <v>881</v>
      </c>
      <c r="W248" s="3">
        <v>0.08</v>
      </c>
      <c r="X248" s="3">
        <v>10.989482199999999</v>
      </c>
      <c r="Y248" s="3">
        <v>76.934408599999998</v>
      </c>
      <c r="Z248" s="3" t="s">
        <v>34</v>
      </c>
    </row>
    <row r="249" spans="1:26" ht="15" hidden="1" customHeight="1" x14ac:dyDescent="0.25">
      <c r="A249" s="3" t="s">
        <v>882</v>
      </c>
      <c r="B249" s="3">
        <f>COUNTIFS(Sheet1!B:B,'Entities table_CCMS Panel View'!A249)</f>
        <v>1</v>
      </c>
      <c r="C249" s="3" t="s">
        <v>26</v>
      </c>
      <c r="D249" s="3" t="s">
        <v>27</v>
      </c>
      <c r="E249" s="3" t="s">
        <v>883</v>
      </c>
      <c r="F249" s="3">
        <v>227.86</v>
      </c>
      <c r="G249" s="3">
        <v>0</v>
      </c>
      <c r="H249" s="3">
        <v>0</v>
      </c>
      <c r="I249" s="3">
        <v>0.05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1"/>
      <c r="P249" s="3" t="s">
        <v>29</v>
      </c>
      <c r="Q249" s="3" t="s">
        <v>30</v>
      </c>
      <c r="R249" s="3" t="s">
        <v>37</v>
      </c>
      <c r="S249" s="3" t="s">
        <v>884</v>
      </c>
      <c r="T249" s="1"/>
      <c r="U249" s="1"/>
      <c r="V249" s="3" t="s">
        <v>885</v>
      </c>
      <c r="W249" s="3">
        <v>0.05</v>
      </c>
      <c r="X249" s="3">
        <v>10.9911976</v>
      </c>
      <c r="Y249" s="3">
        <v>76.943990499999998</v>
      </c>
      <c r="Z249" s="3" t="s">
        <v>34</v>
      </c>
    </row>
    <row r="250" spans="1:26" ht="15" hidden="1" customHeight="1" x14ac:dyDescent="0.25">
      <c r="A250" s="3" t="s">
        <v>886</v>
      </c>
      <c r="B250" s="3">
        <f>COUNTIFS(Sheet1!B:B,'Entities table_CCMS Panel View'!A250)</f>
        <v>1</v>
      </c>
      <c r="C250" s="3" t="s">
        <v>26</v>
      </c>
      <c r="D250" s="3" t="s">
        <v>27</v>
      </c>
      <c r="E250" s="3" t="s">
        <v>55</v>
      </c>
      <c r="F250" s="3">
        <v>221.24</v>
      </c>
      <c r="G250" s="3">
        <v>0</v>
      </c>
      <c r="H250" s="3">
        <v>0</v>
      </c>
      <c r="I250" s="3">
        <v>0.05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1"/>
      <c r="P250" s="3" t="s">
        <v>29</v>
      </c>
      <c r="Q250" s="3" t="s">
        <v>30</v>
      </c>
      <c r="R250" s="3" t="s">
        <v>108</v>
      </c>
      <c r="S250" s="3" t="s">
        <v>887</v>
      </c>
      <c r="T250" s="1"/>
      <c r="U250" s="1"/>
      <c r="V250" s="3" t="s">
        <v>888</v>
      </c>
      <c r="W250" s="3">
        <v>0.05</v>
      </c>
      <c r="X250" s="3">
        <v>10.983595299999999</v>
      </c>
      <c r="Y250" s="3">
        <v>76.940952100000004</v>
      </c>
      <c r="Z250" s="3" t="s">
        <v>34</v>
      </c>
    </row>
    <row r="251" spans="1:26" ht="15" hidden="1" customHeight="1" x14ac:dyDescent="0.25">
      <c r="A251" s="3" t="s">
        <v>889</v>
      </c>
      <c r="B251" s="3">
        <f>COUNTIFS(Sheet1!B:B,'Entities table_CCMS Panel View'!A251)</f>
        <v>1</v>
      </c>
      <c r="C251" s="3" t="s">
        <v>26</v>
      </c>
      <c r="D251" s="3" t="s">
        <v>27</v>
      </c>
      <c r="E251" s="3" t="s">
        <v>55</v>
      </c>
      <c r="F251" s="3">
        <v>229.98</v>
      </c>
      <c r="G251" s="3">
        <v>0</v>
      </c>
      <c r="H251" s="3">
        <v>0</v>
      </c>
      <c r="I251" s="3">
        <v>0.04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1"/>
      <c r="P251" s="3" t="s">
        <v>29</v>
      </c>
      <c r="Q251" s="3" t="s">
        <v>30</v>
      </c>
      <c r="R251" s="3" t="s">
        <v>42</v>
      </c>
      <c r="S251" s="3" t="s">
        <v>890</v>
      </c>
      <c r="T251" s="1"/>
      <c r="U251" s="1"/>
      <c r="V251" s="3" t="s">
        <v>891</v>
      </c>
      <c r="W251" s="3">
        <v>0.04</v>
      </c>
      <c r="X251" s="3">
        <v>10.9804993</v>
      </c>
      <c r="Y251" s="3">
        <v>76.964547999999994</v>
      </c>
      <c r="Z251" s="3" t="s">
        <v>34</v>
      </c>
    </row>
    <row r="252" spans="1:26" ht="15" customHeight="1" x14ac:dyDescent="0.25">
      <c r="A252" s="3" t="s">
        <v>892</v>
      </c>
      <c r="B252" s="3">
        <f>COUNTIFS(Sheet1!B:B,'Entities table_CCMS Panel View'!A252)</f>
        <v>0</v>
      </c>
      <c r="C252" s="3" t="s">
        <v>101</v>
      </c>
      <c r="D252" s="3" t="s">
        <v>102</v>
      </c>
      <c r="E252" s="3" t="s">
        <v>893</v>
      </c>
      <c r="F252" s="3">
        <v>226.66</v>
      </c>
      <c r="G252" s="3">
        <v>0</v>
      </c>
      <c r="H252" s="3">
        <v>0</v>
      </c>
      <c r="I252" s="3">
        <v>0.05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 t="s">
        <v>48</v>
      </c>
      <c r="P252" s="3" t="s">
        <v>29</v>
      </c>
      <c r="Q252" s="3" t="s">
        <v>30</v>
      </c>
      <c r="R252" s="3" t="s">
        <v>42</v>
      </c>
      <c r="S252" s="3" t="s">
        <v>894</v>
      </c>
      <c r="T252" s="1"/>
      <c r="U252" s="1"/>
      <c r="V252" s="3" t="s">
        <v>895</v>
      </c>
      <c r="W252" s="3">
        <v>0.05</v>
      </c>
      <c r="X252" s="3">
        <v>10.9783197</v>
      </c>
      <c r="Y252" s="3">
        <v>76.960482600000006</v>
      </c>
      <c r="Z252" s="3" t="s">
        <v>34</v>
      </c>
    </row>
    <row r="253" spans="1:26" ht="15" hidden="1" customHeight="1" x14ac:dyDescent="0.25">
      <c r="A253" s="3" t="s">
        <v>896</v>
      </c>
      <c r="B253" s="3">
        <f>COUNTIFS(Sheet1!B:B,'Entities table_CCMS Panel View'!A253)</f>
        <v>1</v>
      </c>
      <c r="C253" s="3" t="s">
        <v>26</v>
      </c>
      <c r="D253" s="3" t="s">
        <v>27</v>
      </c>
      <c r="E253" s="3" t="s">
        <v>897</v>
      </c>
      <c r="F253" s="3">
        <v>226.24</v>
      </c>
      <c r="G253" s="3">
        <v>0</v>
      </c>
      <c r="H253" s="3">
        <v>0</v>
      </c>
      <c r="I253" s="3">
        <v>7.0000000000000007E-2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1"/>
      <c r="P253" s="3" t="s">
        <v>29</v>
      </c>
      <c r="Q253" s="3" t="s">
        <v>30</v>
      </c>
      <c r="R253" s="3" t="s">
        <v>108</v>
      </c>
      <c r="S253" s="3" t="s">
        <v>898</v>
      </c>
      <c r="T253" s="1"/>
      <c r="U253" s="1"/>
      <c r="V253" s="3" t="s">
        <v>899</v>
      </c>
      <c r="W253" s="3">
        <v>7.0000000000000007E-2</v>
      </c>
      <c r="X253" s="3">
        <v>10.983855</v>
      </c>
      <c r="Y253" s="3">
        <v>76.935008300000007</v>
      </c>
      <c r="Z253" s="3" t="s">
        <v>34</v>
      </c>
    </row>
    <row r="254" spans="1:26" ht="15" hidden="1" customHeight="1" x14ac:dyDescent="0.25">
      <c r="A254" s="3" t="s">
        <v>900</v>
      </c>
      <c r="B254" s="3">
        <f>COUNTIFS(Sheet1!B:B,'Entities table_CCMS Panel View'!A254)</f>
        <v>1</v>
      </c>
      <c r="C254" s="3" t="s">
        <v>26</v>
      </c>
      <c r="D254" s="3" t="s">
        <v>27</v>
      </c>
      <c r="E254" s="3" t="s">
        <v>55</v>
      </c>
      <c r="F254" s="3">
        <v>219.07</v>
      </c>
      <c r="G254" s="3">
        <v>0</v>
      </c>
      <c r="H254" s="3">
        <v>0</v>
      </c>
      <c r="I254" s="3">
        <v>0.05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1"/>
      <c r="P254" s="3" t="s">
        <v>29</v>
      </c>
      <c r="Q254" s="3" t="s">
        <v>30</v>
      </c>
      <c r="R254" s="3" t="s">
        <v>60</v>
      </c>
      <c r="S254" s="3" t="s">
        <v>901</v>
      </c>
      <c r="T254" s="1"/>
      <c r="U254" s="1"/>
      <c r="V254" s="3" t="s">
        <v>902</v>
      </c>
      <c r="W254" s="3">
        <v>0.05</v>
      </c>
      <c r="X254" s="3">
        <v>10.994834300000001</v>
      </c>
      <c r="Y254" s="3">
        <v>76.942716899999994</v>
      </c>
      <c r="Z254" s="3" t="s">
        <v>34</v>
      </c>
    </row>
    <row r="255" spans="1:26" ht="15" hidden="1" customHeight="1" x14ac:dyDescent="0.25">
      <c r="A255" s="3" t="s">
        <v>903</v>
      </c>
      <c r="B255" s="3">
        <f>COUNTIFS(Sheet1!B:B,'Entities table_CCMS Panel View'!A255)</f>
        <v>1</v>
      </c>
      <c r="C255" s="3" t="s">
        <v>26</v>
      </c>
      <c r="D255" s="3" t="s">
        <v>27</v>
      </c>
      <c r="E255" s="3" t="s">
        <v>404</v>
      </c>
      <c r="F255" s="3">
        <v>219.06</v>
      </c>
      <c r="G255" s="3">
        <v>0</v>
      </c>
      <c r="H255" s="3">
        <v>0</v>
      </c>
      <c r="I255" s="3">
        <v>0.05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1"/>
      <c r="P255" s="3" t="s">
        <v>29</v>
      </c>
      <c r="Q255" s="3" t="s">
        <v>30</v>
      </c>
      <c r="R255" s="3" t="s">
        <v>60</v>
      </c>
      <c r="S255" s="3" t="s">
        <v>904</v>
      </c>
      <c r="T255" s="1"/>
      <c r="U255" s="1"/>
      <c r="V255" s="3" t="s">
        <v>905</v>
      </c>
      <c r="W255" s="3">
        <v>0.05</v>
      </c>
      <c r="X255" s="3">
        <v>11.0015974</v>
      </c>
      <c r="Y255" s="3">
        <v>76.938569700000002</v>
      </c>
      <c r="Z255" s="3" t="s">
        <v>34</v>
      </c>
    </row>
    <row r="256" spans="1:26" ht="15" hidden="1" customHeight="1" x14ac:dyDescent="0.25">
      <c r="A256" s="3" t="s">
        <v>906</v>
      </c>
      <c r="B256" s="3">
        <f>COUNTIFS(Sheet1!B:B,'Entities table_CCMS Panel View'!A256)</f>
        <v>1</v>
      </c>
      <c r="C256" s="3" t="s">
        <v>26</v>
      </c>
      <c r="D256" s="3" t="s">
        <v>27</v>
      </c>
      <c r="E256" s="3" t="s">
        <v>897</v>
      </c>
      <c r="F256" s="3">
        <v>221.52</v>
      </c>
      <c r="G256" s="3">
        <v>0</v>
      </c>
      <c r="H256" s="3">
        <v>0</v>
      </c>
      <c r="I256" s="3">
        <v>0.05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1"/>
      <c r="P256" s="3" t="s">
        <v>29</v>
      </c>
      <c r="Q256" s="3" t="s">
        <v>30</v>
      </c>
      <c r="R256" s="3" t="s">
        <v>37</v>
      </c>
      <c r="S256" s="3" t="s">
        <v>907</v>
      </c>
      <c r="T256" s="1"/>
      <c r="U256" s="1"/>
      <c r="V256" s="3" t="s">
        <v>908</v>
      </c>
      <c r="W256" s="3">
        <v>0.05</v>
      </c>
      <c r="X256" s="3">
        <v>10.992287299999999</v>
      </c>
      <c r="Y256" s="3">
        <v>76.937400800000006</v>
      </c>
      <c r="Z256" s="3" t="s">
        <v>34</v>
      </c>
    </row>
    <row r="257" spans="1:26" ht="15" hidden="1" customHeight="1" x14ac:dyDescent="0.25">
      <c r="A257" s="3" t="s">
        <v>909</v>
      </c>
      <c r="B257" s="3">
        <f>COUNTIFS(Sheet1!B:B,'Entities table_CCMS Panel View'!A257)</f>
        <v>1</v>
      </c>
      <c r="C257" s="3" t="s">
        <v>26</v>
      </c>
      <c r="D257" s="3" t="s">
        <v>27</v>
      </c>
      <c r="E257" s="3" t="s">
        <v>910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 t="s">
        <v>145</v>
      </c>
      <c r="P257" s="3" t="s">
        <v>29</v>
      </c>
      <c r="Q257" s="3" t="s">
        <v>30</v>
      </c>
      <c r="R257" s="3" t="s">
        <v>31</v>
      </c>
      <c r="S257" s="3" t="s">
        <v>911</v>
      </c>
      <c r="T257" s="1"/>
      <c r="U257" s="1"/>
      <c r="V257" s="3" t="s">
        <v>912</v>
      </c>
      <c r="W257" s="3">
        <v>0</v>
      </c>
      <c r="X257" s="3">
        <v>10.983993699999999</v>
      </c>
      <c r="Y257" s="3">
        <v>76.926201199999994</v>
      </c>
      <c r="Z257" s="3" t="s">
        <v>34</v>
      </c>
    </row>
    <row r="258" spans="1:26" ht="15" hidden="1" customHeight="1" x14ac:dyDescent="0.25">
      <c r="A258" s="3" t="s">
        <v>913</v>
      </c>
      <c r="B258" s="3">
        <f>COUNTIFS(Sheet1!B:B,'Entities table_CCMS Panel View'!A258)</f>
        <v>1</v>
      </c>
      <c r="C258" s="3" t="s">
        <v>26</v>
      </c>
      <c r="D258" s="3" t="s">
        <v>27</v>
      </c>
      <c r="E258" s="3" t="s">
        <v>404</v>
      </c>
      <c r="F258" s="3">
        <v>219.09</v>
      </c>
      <c r="G258" s="3">
        <v>0</v>
      </c>
      <c r="H258" s="3">
        <v>0</v>
      </c>
      <c r="I258" s="3">
        <v>0.05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1"/>
      <c r="P258" s="3" t="s">
        <v>29</v>
      </c>
      <c r="Q258" s="3" t="s">
        <v>30</v>
      </c>
      <c r="R258" s="3" t="s">
        <v>60</v>
      </c>
      <c r="S258" s="3" t="s">
        <v>914</v>
      </c>
      <c r="T258" s="1"/>
      <c r="U258" s="1"/>
      <c r="V258" s="3" t="s">
        <v>915</v>
      </c>
      <c r="W258" s="3">
        <v>0.05</v>
      </c>
      <c r="X258" s="3">
        <v>10.9899331</v>
      </c>
      <c r="Y258" s="3">
        <v>76.940464800000001</v>
      </c>
      <c r="Z258" s="3" t="s">
        <v>34</v>
      </c>
    </row>
    <row r="259" spans="1:26" ht="15" hidden="1" customHeight="1" x14ac:dyDescent="0.25">
      <c r="A259" s="3" t="s">
        <v>916</v>
      </c>
      <c r="B259" s="3">
        <f>COUNTIFS(Sheet1!B:B,'Entities table_CCMS Panel View'!A259)</f>
        <v>1</v>
      </c>
      <c r="C259" s="3" t="s">
        <v>26</v>
      </c>
      <c r="D259" s="3" t="s">
        <v>27</v>
      </c>
      <c r="E259" s="3" t="s">
        <v>41</v>
      </c>
      <c r="F259" s="3">
        <v>226.18</v>
      </c>
      <c r="G259" s="3">
        <v>0</v>
      </c>
      <c r="H259" s="3">
        <v>0</v>
      </c>
      <c r="I259" s="3">
        <v>0.05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1"/>
      <c r="P259" s="3" t="s">
        <v>29</v>
      </c>
      <c r="Q259" s="3" t="s">
        <v>30</v>
      </c>
      <c r="R259" s="3" t="s">
        <v>42</v>
      </c>
      <c r="S259" s="3" t="s">
        <v>917</v>
      </c>
      <c r="T259" s="1"/>
      <c r="U259" s="1"/>
      <c r="V259" s="3" t="s">
        <v>918</v>
      </c>
      <c r="W259" s="3">
        <v>0.05</v>
      </c>
      <c r="X259" s="3">
        <v>10.984124100000001</v>
      </c>
      <c r="Y259" s="3">
        <v>76.963220000000007</v>
      </c>
      <c r="Z259" s="3" t="s">
        <v>34</v>
      </c>
    </row>
    <row r="260" spans="1:26" ht="15" hidden="1" customHeight="1" x14ac:dyDescent="0.25">
      <c r="A260" s="3" t="s">
        <v>919</v>
      </c>
      <c r="B260" s="3">
        <f>COUNTIFS(Sheet1!B:B,'Entities table_CCMS Panel View'!A260)</f>
        <v>1</v>
      </c>
      <c r="C260" s="3" t="s">
        <v>26</v>
      </c>
      <c r="D260" s="3" t="s">
        <v>27</v>
      </c>
      <c r="E260" s="3" t="s">
        <v>201</v>
      </c>
      <c r="F260" s="3">
        <v>223.1</v>
      </c>
      <c r="G260" s="3">
        <v>0</v>
      </c>
      <c r="H260" s="3">
        <v>0</v>
      </c>
      <c r="I260" s="3">
        <v>0.05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 t="s">
        <v>48</v>
      </c>
      <c r="P260" s="3" t="s">
        <v>29</v>
      </c>
      <c r="Q260" s="3" t="s">
        <v>30</v>
      </c>
      <c r="R260" s="3" t="s">
        <v>37</v>
      </c>
      <c r="S260" s="3" t="s">
        <v>38</v>
      </c>
      <c r="T260" s="3">
        <v>5755183051487</v>
      </c>
      <c r="U260" s="1"/>
      <c r="V260" s="3" t="s">
        <v>920</v>
      </c>
      <c r="W260" s="3">
        <v>0.05</v>
      </c>
      <c r="X260" s="3">
        <v>10.991887800000001</v>
      </c>
      <c r="Y260" s="3">
        <v>76.944136999999998</v>
      </c>
      <c r="Z260" s="3" t="s">
        <v>34</v>
      </c>
    </row>
  </sheetData>
  <autoFilter ref="A1:Z260" xr:uid="{B3B3B6F9-AAA6-4812-8843-1A20E1513566}">
    <filterColumn colId="1">
      <filters>
        <filter val="0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723D-1E73-4C98-B84B-7EBDE48F0047}">
  <dimension ref="A1:L197"/>
  <sheetViews>
    <sheetView topLeftCell="A110" workbookViewId="0">
      <selection sqref="A1:L197"/>
    </sheetView>
  </sheetViews>
  <sheetFormatPr defaultRowHeight="15" x14ac:dyDescent="0.25"/>
  <sheetData>
    <row r="1" spans="1:12" x14ac:dyDescent="0.25">
      <c r="A1" t="s">
        <v>921</v>
      </c>
      <c r="B1" t="s">
        <v>922</v>
      </c>
      <c r="C1" t="s">
        <v>923</v>
      </c>
      <c r="D1" t="s">
        <v>15</v>
      </c>
      <c r="E1" t="s">
        <v>16</v>
      </c>
      <c r="F1" t="s">
        <v>924</v>
      </c>
      <c r="G1" t="s">
        <v>925</v>
      </c>
      <c r="H1" t="s">
        <v>926</v>
      </c>
      <c r="I1" t="s">
        <v>927</v>
      </c>
      <c r="J1" t="s">
        <v>928</v>
      </c>
      <c r="K1" t="s">
        <v>929</v>
      </c>
      <c r="L1" s="4" t="s">
        <v>930</v>
      </c>
    </row>
    <row r="2" spans="1:12" x14ac:dyDescent="0.25">
      <c r="A2" s="5">
        <v>46186</v>
      </c>
      <c r="B2" t="s">
        <v>783</v>
      </c>
      <c r="C2" t="s">
        <v>931</v>
      </c>
      <c r="D2" t="s">
        <v>30</v>
      </c>
      <c r="E2" t="s">
        <v>31</v>
      </c>
      <c r="F2">
        <v>100</v>
      </c>
      <c r="G2">
        <v>120</v>
      </c>
      <c r="H2">
        <v>0</v>
      </c>
      <c r="I2">
        <v>4</v>
      </c>
      <c r="J2">
        <v>0</v>
      </c>
      <c r="K2">
        <v>0</v>
      </c>
      <c r="L2" s="4">
        <v>1</v>
      </c>
    </row>
    <row r="3" spans="1:12" x14ac:dyDescent="0.25">
      <c r="A3" s="5">
        <v>46186</v>
      </c>
      <c r="B3" t="s">
        <v>372</v>
      </c>
      <c r="C3" t="s">
        <v>931</v>
      </c>
      <c r="D3" t="s">
        <v>30</v>
      </c>
      <c r="E3" t="s">
        <v>60</v>
      </c>
      <c r="F3">
        <v>1320</v>
      </c>
      <c r="G3">
        <v>1820</v>
      </c>
      <c r="H3">
        <v>0</v>
      </c>
      <c r="I3">
        <v>41</v>
      </c>
      <c r="J3">
        <v>0</v>
      </c>
      <c r="K3">
        <v>0</v>
      </c>
      <c r="L3" s="4">
        <v>1</v>
      </c>
    </row>
    <row r="4" spans="1:12" x14ac:dyDescent="0.25">
      <c r="A4" s="5">
        <v>46186</v>
      </c>
      <c r="B4" t="s">
        <v>241</v>
      </c>
      <c r="C4" t="s">
        <v>931</v>
      </c>
      <c r="D4" t="s">
        <v>30</v>
      </c>
      <c r="E4" t="s">
        <v>42</v>
      </c>
      <c r="F4">
        <v>500</v>
      </c>
      <c r="G4">
        <v>510</v>
      </c>
      <c r="H4">
        <v>0</v>
      </c>
      <c r="I4">
        <v>6</v>
      </c>
      <c r="J4">
        <v>0</v>
      </c>
      <c r="K4">
        <v>0</v>
      </c>
      <c r="L4" s="4">
        <v>1</v>
      </c>
    </row>
    <row r="5" spans="1:12" x14ac:dyDescent="0.25">
      <c r="A5" s="5">
        <v>46186</v>
      </c>
      <c r="B5" t="s">
        <v>106</v>
      </c>
      <c r="C5" t="s">
        <v>931</v>
      </c>
      <c r="D5" t="s">
        <v>30</v>
      </c>
      <c r="E5" t="s">
        <v>108</v>
      </c>
      <c r="F5">
        <v>500</v>
      </c>
      <c r="G5">
        <v>520</v>
      </c>
      <c r="H5">
        <v>0</v>
      </c>
      <c r="I5">
        <v>25</v>
      </c>
      <c r="J5">
        <v>0</v>
      </c>
      <c r="K5">
        <v>0</v>
      </c>
      <c r="L5" s="4">
        <v>1</v>
      </c>
    </row>
    <row r="6" spans="1:12" x14ac:dyDescent="0.25">
      <c r="A6" s="5">
        <v>46186</v>
      </c>
      <c r="B6" t="s">
        <v>712</v>
      </c>
      <c r="C6" t="s">
        <v>931</v>
      </c>
      <c r="D6" t="s">
        <v>30</v>
      </c>
      <c r="E6" t="s">
        <v>42</v>
      </c>
      <c r="F6">
        <v>240</v>
      </c>
      <c r="G6">
        <v>400</v>
      </c>
      <c r="H6">
        <v>0</v>
      </c>
      <c r="I6">
        <v>6</v>
      </c>
      <c r="J6">
        <v>0</v>
      </c>
      <c r="K6">
        <v>0</v>
      </c>
      <c r="L6" s="4">
        <v>1</v>
      </c>
    </row>
    <row r="7" spans="1:12" x14ac:dyDescent="0.25">
      <c r="A7" s="5">
        <v>46186</v>
      </c>
      <c r="B7" t="s">
        <v>447</v>
      </c>
      <c r="C7" t="s">
        <v>931</v>
      </c>
      <c r="D7" t="s">
        <v>30</v>
      </c>
      <c r="E7" t="s">
        <v>60</v>
      </c>
      <c r="F7">
        <v>1550</v>
      </c>
      <c r="G7">
        <v>1870</v>
      </c>
      <c r="H7">
        <v>0</v>
      </c>
      <c r="I7">
        <v>35</v>
      </c>
      <c r="J7">
        <v>0</v>
      </c>
      <c r="K7">
        <v>0</v>
      </c>
      <c r="L7" s="4">
        <v>1</v>
      </c>
    </row>
    <row r="8" spans="1:12" x14ac:dyDescent="0.25">
      <c r="A8" s="5">
        <v>46186</v>
      </c>
      <c r="B8" t="s">
        <v>419</v>
      </c>
      <c r="C8" t="s">
        <v>931</v>
      </c>
      <c r="D8" t="s">
        <v>30</v>
      </c>
      <c r="E8" t="s">
        <v>31</v>
      </c>
      <c r="F8">
        <v>690</v>
      </c>
      <c r="G8">
        <v>870</v>
      </c>
      <c r="H8">
        <v>0</v>
      </c>
      <c r="I8">
        <v>16</v>
      </c>
      <c r="J8">
        <v>0</v>
      </c>
      <c r="K8">
        <v>0</v>
      </c>
      <c r="L8" s="4">
        <v>1</v>
      </c>
    </row>
    <row r="9" spans="1:12" x14ac:dyDescent="0.25">
      <c r="A9" s="5">
        <v>46186</v>
      </c>
      <c r="B9" t="s">
        <v>642</v>
      </c>
      <c r="C9" t="s">
        <v>931</v>
      </c>
      <c r="D9" t="s">
        <v>30</v>
      </c>
      <c r="E9" t="s">
        <v>42</v>
      </c>
      <c r="F9">
        <v>200</v>
      </c>
      <c r="G9">
        <v>240</v>
      </c>
      <c r="H9">
        <v>0</v>
      </c>
      <c r="I9">
        <v>3</v>
      </c>
      <c r="J9">
        <v>0</v>
      </c>
      <c r="K9">
        <v>0</v>
      </c>
      <c r="L9" s="4">
        <v>1</v>
      </c>
    </row>
    <row r="10" spans="1:12" x14ac:dyDescent="0.25">
      <c r="A10" s="5">
        <v>46186</v>
      </c>
      <c r="B10" t="s">
        <v>388</v>
      </c>
      <c r="C10" t="s">
        <v>931</v>
      </c>
      <c r="D10" t="s">
        <v>30</v>
      </c>
      <c r="E10" t="s">
        <v>37</v>
      </c>
      <c r="F10">
        <v>1215</v>
      </c>
      <c r="G10">
        <v>1200</v>
      </c>
      <c r="H10">
        <v>0</v>
      </c>
      <c r="I10">
        <v>27</v>
      </c>
      <c r="J10">
        <v>0</v>
      </c>
      <c r="K10">
        <v>0</v>
      </c>
      <c r="L10" s="4">
        <v>1</v>
      </c>
    </row>
    <row r="11" spans="1:12" x14ac:dyDescent="0.25">
      <c r="A11" s="5">
        <v>46186</v>
      </c>
      <c r="B11" t="s">
        <v>294</v>
      </c>
      <c r="C11" t="s">
        <v>931</v>
      </c>
      <c r="D11" t="s">
        <v>30</v>
      </c>
      <c r="E11" t="s">
        <v>37</v>
      </c>
      <c r="F11">
        <v>140</v>
      </c>
      <c r="G11">
        <v>170</v>
      </c>
      <c r="H11">
        <v>0</v>
      </c>
      <c r="I11">
        <v>4</v>
      </c>
      <c r="J11">
        <v>0</v>
      </c>
      <c r="K11">
        <v>0</v>
      </c>
      <c r="L11" s="4">
        <v>1</v>
      </c>
    </row>
    <row r="12" spans="1:12" x14ac:dyDescent="0.25">
      <c r="A12" s="5">
        <v>46186</v>
      </c>
      <c r="B12" t="s">
        <v>471</v>
      </c>
      <c r="C12" t="s">
        <v>931</v>
      </c>
      <c r="D12" t="s">
        <v>30</v>
      </c>
      <c r="E12" t="s">
        <v>31</v>
      </c>
      <c r="F12">
        <v>590</v>
      </c>
      <c r="G12">
        <v>610</v>
      </c>
      <c r="H12">
        <v>0</v>
      </c>
      <c r="I12">
        <v>16</v>
      </c>
      <c r="J12">
        <v>0</v>
      </c>
      <c r="K12">
        <v>0</v>
      </c>
      <c r="L12" s="4">
        <v>1</v>
      </c>
    </row>
    <row r="13" spans="1:12" x14ac:dyDescent="0.25">
      <c r="A13" s="5">
        <v>46186</v>
      </c>
      <c r="B13" t="s">
        <v>835</v>
      </c>
      <c r="C13" t="s">
        <v>931</v>
      </c>
      <c r="D13" t="s">
        <v>30</v>
      </c>
      <c r="E13" t="s">
        <v>42</v>
      </c>
      <c r="F13">
        <v>0</v>
      </c>
      <c r="G13">
        <v>890</v>
      </c>
      <c r="H13">
        <v>0</v>
      </c>
      <c r="I13">
        <v>0</v>
      </c>
      <c r="J13">
        <v>0</v>
      </c>
      <c r="K13" t="s">
        <v>932</v>
      </c>
      <c r="L13" s="4" t="s">
        <v>932</v>
      </c>
    </row>
    <row r="14" spans="1:12" x14ac:dyDescent="0.25">
      <c r="A14" s="5">
        <v>46186</v>
      </c>
      <c r="B14" t="s">
        <v>913</v>
      </c>
      <c r="C14" t="s">
        <v>931</v>
      </c>
      <c r="D14" t="s">
        <v>30</v>
      </c>
      <c r="E14" t="s">
        <v>60</v>
      </c>
      <c r="F14">
        <v>0</v>
      </c>
      <c r="G14">
        <v>160</v>
      </c>
      <c r="H14">
        <v>0</v>
      </c>
      <c r="I14">
        <v>0</v>
      </c>
      <c r="J14">
        <v>0</v>
      </c>
      <c r="K14" t="s">
        <v>932</v>
      </c>
      <c r="L14" s="4" t="s">
        <v>932</v>
      </c>
    </row>
    <row r="15" spans="1:12" x14ac:dyDescent="0.25">
      <c r="A15" s="5">
        <v>46186</v>
      </c>
      <c r="B15" t="s">
        <v>210</v>
      </c>
      <c r="C15" t="s">
        <v>931</v>
      </c>
      <c r="D15" t="s">
        <v>30</v>
      </c>
      <c r="E15" t="s">
        <v>31</v>
      </c>
      <c r="F15">
        <v>680</v>
      </c>
      <c r="G15">
        <v>560</v>
      </c>
      <c r="H15">
        <v>120</v>
      </c>
      <c r="I15">
        <v>21</v>
      </c>
      <c r="J15">
        <v>3</v>
      </c>
      <c r="K15">
        <v>0.14285714285714199</v>
      </c>
      <c r="L15" s="4">
        <v>0.85714285714285698</v>
      </c>
    </row>
    <row r="16" spans="1:12" x14ac:dyDescent="0.25">
      <c r="A16" s="5">
        <v>46186</v>
      </c>
      <c r="B16" t="s">
        <v>636</v>
      </c>
      <c r="C16" t="s">
        <v>931</v>
      </c>
      <c r="D16" t="s">
        <v>30</v>
      </c>
      <c r="E16" t="s">
        <v>31</v>
      </c>
      <c r="F16">
        <v>600</v>
      </c>
      <c r="G16">
        <v>740</v>
      </c>
      <c r="H16">
        <v>0</v>
      </c>
      <c r="I16">
        <v>30</v>
      </c>
      <c r="J16">
        <v>0</v>
      </c>
      <c r="K16">
        <v>0</v>
      </c>
      <c r="L16" s="4">
        <v>1</v>
      </c>
    </row>
    <row r="17" spans="1:12" x14ac:dyDescent="0.25">
      <c r="A17" s="5">
        <v>46186</v>
      </c>
      <c r="B17" t="s">
        <v>573</v>
      </c>
      <c r="C17" t="s">
        <v>931</v>
      </c>
      <c r="D17" t="s">
        <v>30</v>
      </c>
      <c r="E17" t="s">
        <v>42</v>
      </c>
      <c r="F17">
        <v>4080</v>
      </c>
      <c r="G17">
        <v>2053</v>
      </c>
      <c r="H17">
        <v>0</v>
      </c>
      <c r="I17">
        <v>34</v>
      </c>
      <c r="J17">
        <v>0</v>
      </c>
      <c r="K17">
        <v>0</v>
      </c>
      <c r="L17" s="4">
        <v>1</v>
      </c>
    </row>
    <row r="18" spans="1:12" x14ac:dyDescent="0.25">
      <c r="A18" s="5">
        <v>46186</v>
      </c>
      <c r="B18" t="s">
        <v>599</v>
      </c>
      <c r="C18" t="s">
        <v>931</v>
      </c>
      <c r="D18" t="s">
        <v>30</v>
      </c>
      <c r="E18" t="s">
        <v>31</v>
      </c>
      <c r="F18">
        <v>1210</v>
      </c>
      <c r="G18">
        <v>1510</v>
      </c>
      <c r="H18">
        <v>0</v>
      </c>
      <c r="I18">
        <v>29</v>
      </c>
      <c r="J18">
        <v>0</v>
      </c>
      <c r="K18">
        <v>0</v>
      </c>
      <c r="L18" s="4">
        <v>1</v>
      </c>
    </row>
    <row r="19" spans="1:12" x14ac:dyDescent="0.25">
      <c r="A19" s="5">
        <v>46186</v>
      </c>
      <c r="B19" t="s">
        <v>207</v>
      </c>
      <c r="C19" t="s">
        <v>931</v>
      </c>
      <c r="D19" t="s">
        <v>30</v>
      </c>
      <c r="E19" t="s">
        <v>60</v>
      </c>
      <c r="F19">
        <v>980</v>
      </c>
      <c r="G19">
        <v>1180</v>
      </c>
      <c r="H19">
        <v>0</v>
      </c>
      <c r="I19">
        <v>12</v>
      </c>
      <c r="J19">
        <v>0</v>
      </c>
      <c r="K19">
        <v>0</v>
      </c>
      <c r="L19" s="4">
        <v>1</v>
      </c>
    </row>
    <row r="20" spans="1:12" x14ac:dyDescent="0.25">
      <c r="A20" s="5">
        <v>46186</v>
      </c>
      <c r="B20" t="s">
        <v>92</v>
      </c>
      <c r="C20" t="s">
        <v>931</v>
      </c>
      <c r="D20" t="s">
        <v>30</v>
      </c>
      <c r="E20" t="s">
        <v>31</v>
      </c>
      <c r="F20">
        <v>1610</v>
      </c>
      <c r="G20">
        <v>910</v>
      </c>
      <c r="H20">
        <v>690</v>
      </c>
      <c r="I20">
        <v>45</v>
      </c>
      <c r="J20">
        <v>11</v>
      </c>
      <c r="K20">
        <v>0.24444444444444399</v>
      </c>
      <c r="L20" s="4">
        <v>0.75555555555555498</v>
      </c>
    </row>
    <row r="21" spans="1:12" x14ac:dyDescent="0.25">
      <c r="A21" s="5">
        <v>46186</v>
      </c>
      <c r="B21" t="s">
        <v>552</v>
      </c>
      <c r="C21" t="s">
        <v>931</v>
      </c>
      <c r="D21" t="s">
        <v>30</v>
      </c>
      <c r="E21" t="s">
        <v>31</v>
      </c>
      <c r="F21">
        <v>210</v>
      </c>
      <c r="G21">
        <v>580</v>
      </c>
      <c r="H21">
        <v>0</v>
      </c>
      <c r="I21">
        <v>2</v>
      </c>
      <c r="J21">
        <v>0</v>
      </c>
      <c r="K21">
        <v>0</v>
      </c>
      <c r="L21" s="4">
        <v>1</v>
      </c>
    </row>
    <row r="22" spans="1:12" x14ac:dyDescent="0.25">
      <c r="A22" s="5">
        <v>46186</v>
      </c>
      <c r="B22" t="s">
        <v>719</v>
      </c>
      <c r="C22" t="s">
        <v>931</v>
      </c>
      <c r="D22" t="s">
        <v>30</v>
      </c>
      <c r="E22" t="s">
        <v>42</v>
      </c>
      <c r="F22">
        <v>1200</v>
      </c>
      <c r="G22">
        <v>2460</v>
      </c>
      <c r="H22">
        <v>0</v>
      </c>
      <c r="I22">
        <v>26</v>
      </c>
      <c r="J22">
        <v>0</v>
      </c>
      <c r="K22">
        <v>0</v>
      </c>
      <c r="L22" s="4">
        <v>1</v>
      </c>
    </row>
    <row r="23" spans="1:12" x14ac:dyDescent="0.25">
      <c r="A23" s="5">
        <v>46186</v>
      </c>
      <c r="B23" t="s">
        <v>441</v>
      </c>
      <c r="C23" t="s">
        <v>931</v>
      </c>
      <c r="D23" t="s">
        <v>30</v>
      </c>
      <c r="E23" t="s">
        <v>108</v>
      </c>
      <c r="F23">
        <v>930</v>
      </c>
      <c r="G23">
        <v>1110</v>
      </c>
      <c r="H23">
        <v>0</v>
      </c>
      <c r="I23">
        <v>30</v>
      </c>
      <c r="J23">
        <v>0</v>
      </c>
      <c r="K23">
        <v>0</v>
      </c>
      <c r="L23" s="4">
        <v>1</v>
      </c>
    </row>
    <row r="24" spans="1:12" x14ac:dyDescent="0.25">
      <c r="A24" s="5">
        <v>46186</v>
      </c>
      <c r="B24" t="s">
        <v>813</v>
      </c>
      <c r="C24" t="s">
        <v>931</v>
      </c>
      <c r="D24" t="s">
        <v>30</v>
      </c>
      <c r="E24" t="s">
        <v>42</v>
      </c>
      <c r="F24">
        <v>100</v>
      </c>
      <c r="G24">
        <v>40</v>
      </c>
      <c r="H24">
        <v>60</v>
      </c>
      <c r="I24">
        <v>5</v>
      </c>
      <c r="J24">
        <v>3</v>
      </c>
      <c r="K24">
        <v>0.6</v>
      </c>
      <c r="L24" s="4">
        <v>0.4</v>
      </c>
    </row>
    <row r="25" spans="1:12" x14ac:dyDescent="0.25">
      <c r="A25" s="5">
        <v>46186</v>
      </c>
      <c r="B25" t="s">
        <v>444</v>
      </c>
      <c r="C25" t="s">
        <v>931</v>
      </c>
      <c r="D25" t="s">
        <v>30</v>
      </c>
      <c r="E25" t="s">
        <v>60</v>
      </c>
      <c r="F25">
        <v>0</v>
      </c>
      <c r="G25">
        <v>1900</v>
      </c>
      <c r="H25">
        <v>0</v>
      </c>
      <c r="I25">
        <v>25</v>
      </c>
      <c r="J25">
        <v>0</v>
      </c>
      <c r="K25">
        <v>0</v>
      </c>
      <c r="L25" s="4">
        <v>1</v>
      </c>
    </row>
    <row r="26" spans="1:12" x14ac:dyDescent="0.25">
      <c r="A26" s="5">
        <v>46186</v>
      </c>
      <c r="B26" t="s">
        <v>670</v>
      </c>
      <c r="C26" t="s">
        <v>931</v>
      </c>
      <c r="D26" t="s">
        <v>30</v>
      </c>
      <c r="E26" t="s">
        <v>108</v>
      </c>
      <c r="F26">
        <v>520</v>
      </c>
      <c r="G26">
        <v>710</v>
      </c>
      <c r="H26">
        <v>0</v>
      </c>
      <c r="I26">
        <v>14</v>
      </c>
      <c r="J26">
        <v>0</v>
      </c>
      <c r="K26">
        <v>0</v>
      </c>
      <c r="L26" s="4">
        <v>1</v>
      </c>
    </row>
    <row r="27" spans="1:12" x14ac:dyDescent="0.25">
      <c r="A27" s="5">
        <v>46186</v>
      </c>
      <c r="B27" t="s">
        <v>238</v>
      </c>
      <c r="C27" t="s">
        <v>931</v>
      </c>
      <c r="D27" t="s">
        <v>30</v>
      </c>
      <c r="E27" t="s">
        <v>108</v>
      </c>
      <c r="F27">
        <v>520</v>
      </c>
      <c r="G27">
        <v>540</v>
      </c>
      <c r="H27">
        <v>0</v>
      </c>
      <c r="I27">
        <v>18</v>
      </c>
      <c r="J27">
        <v>0</v>
      </c>
      <c r="K27">
        <v>0</v>
      </c>
      <c r="L27" s="4">
        <v>1</v>
      </c>
    </row>
    <row r="28" spans="1:12" x14ac:dyDescent="0.25">
      <c r="A28" s="5">
        <v>46186</v>
      </c>
      <c r="B28" t="s">
        <v>183</v>
      </c>
      <c r="C28" t="s">
        <v>931</v>
      </c>
      <c r="D28" t="s">
        <v>30</v>
      </c>
      <c r="E28" t="s">
        <v>31</v>
      </c>
      <c r="F28">
        <v>330</v>
      </c>
      <c r="G28">
        <v>320</v>
      </c>
      <c r="H28">
        <v>0</v>
      </c>
      <c r="I28">
        <v>5</v>
      </c>
      <c r="J28">
        <v>0</v>
      </c>
      <c r="K28">
        <v>0</v>
      </c>
      <c r="L28" s="4">
        <v>1</v>
      </c>
    </row>
    <row r="29" spans="1:12" x14ac:dyDescent="0.25">
      <c r="A29" s="5">
        <v>46186</v>
      </c>
      <c r="B29" t="s">
        <v>226</v>
      </c>
      <c r="C29" t="s">
        <v>931</v>
      </c>
      <c r="D29" t="s">
        <v>30</v>
      </c>
      <c r="E29" t="s">
        <v>31</v>
      </c>
      <c r="F29">
        <v>300</v>
      </c>
      <c r="G29">
        <v>320</v>
      </c>
      <c r="H29">
        <v>0</v>
      </c>
      <c r="I29">
        <v>15</v>
      </c>
      <c r="J29">
        <v>0</v>
      </c>
      <c r="K29">
        <v>0</v>
      </c>
      <c r="L29" s="4">
        <v>1</v>
      </c>
    </row>
    <row r="30" spans="1:12" x14ac:dyDescent="0.25">
      <c r="A30" s="5">
        <v>46186</v>
      </c>
      <c r="B30" t="s">
        <v>83</v>
      </c>
      <c r="C30" t="s">
        <v>931</v>
      </c>
      <c r="D30" t="s">
        <v>30</v>
      </c>
      <c r="E30" t="s">
        <v>60</v>
      </c>
      <c r="F30">
        <v>1270</v>
      </c>
      <c r="G30">
        <v>1570</v>
      </c>
      <c r="H30">
        <v>0</v>
      </c>
      <c r="I30">
        <v>26</v>
      </c>
      <c r="J30">
        <v>0</v>
      </c>
      <c r="K30">
        <v>0</v>
      </c>
      <c r="L30" s="4">
        <v>1</v>
      </c>
    </row>
    <row r="31" spans="1:12" x14ac:dyDescent="0.25">
      <c r="A31" s="5">
        <v>46186</v>
      </c>
      <c r="B31" t="s">
        <v>54</v>
      </c>
      <c r="C31" t="s">
        <v>931</v>
      </c>
      <c r="D31" t="s">
        <v>30</v>
      </c>
      <c r="E31" t="s">
        <v>31</v>
      </c>
      <c r="F31" t="s">
        <v>932</v>
      </c>
      <c r="G31">
        <v>120</v>
      </c>
      <c r="H31">
        <v>0</v>
      </c>
      <c r="I31">
        <v>0</v>
      </c>
      <c r="J31">
        <v>0</v>
      </c>
      <c r="K31" t="s">
        <v>932</v>
      </c>
      <c r="L31" s="4" t="s">
        <v>932</v>
      </c>
    </row>
    <row r="32" spans="1:12" x14ac:dyDescent="0.25">
      <c r="A32" s="5">
        <v>46186</v>
      </c>
      <c r="B32" t="s">
        <v>88</v>
      </c>
      <c r="C32" t="s">
        <v>931</v>
      </c>
      <c r="D32" t="s">
        <v>30</v>
      </c>
      <c r="E32" t="s">
        <v>60</v>
      </c>
      <c r="F32">
        <v>1300</v>
      </c>
      <c r="G32">
        <v>1930</v>
      </c>
      <c r="H32">
        <v>0</v>
      </c>
      <c r="I32">
        <v>20</v>
      </c>
      <c r="J32">
        <v>0</v>
      </c>
      <c r="K32">
        <v>0</v>
      </c>
      <c r="L32" s="4">
        <v>1</v>
      </c>
    </row>
    <row r="33" spans="1:12" x14ac:dyDescent="0.25">
      <c r="A33" s="5">
        <v>46186</v>
      </c>
      <c r="B33" t="s">
        <v>838</v>
      </c>
      <c r="C33" t="s">
        <v>931</v>
      </c>
      <c r="D33" t="s">
        <v>30</v>
      </c>
      <c r="E33" t="s">
        <v>37</v>
      </c>
      <c r="F33">
        <v>0</v>
      </c>
      <c r="G33">
        <v>140</v>
      </c>
      <c r="H33">
        <v>0</v>
      </c>
      <c r="I33">
        <v>0</v>
      </c>
      <c r="J33">
        <v>0</v>
      </c>
      <c r="K33" t="s">
        <v>932</v>
      </c>
      <c r="L33" s="4" t="s">
        <v>932</v>
      </c>
    </row>
    <row r="34" spans="1:12" x14ac:dyDescent="0.25">
      <c r="A34" s="5">
        <v>46186</v>
      </c>
      <c r="B34" t="s">
        <v>507</v>
      </c>
      <c r="C34" t="s">
        <v>931</v>
      </c>
      <c r="D34" t="s">
        <v>30</v>
      </c>
      <c r="E34" t="s">
        <v>42</v>
      </c>
      <c r="F34">
        <v>520</v>
      </c>
      <c r="G34">
        <v>490</v>
      </c>
      <c r="H34">
        <v>0</v>
      </c>
      <c r="I34">
        <v>11</v>
      </c>
      <c r="J34">
        <v>0</v>
      </c>
      <c r="K34">
        <v>0</v>
      </c>
      <c r="L34" s="4">
        <v>1</v>
      </c>
    </row>
    <row r="35" spans="1:12" x14ac:dyDescent="0.25">
      <c r="A35" s="5">
        <v>46186</v>
      </c>
      <c r="B35" t="s">
        <v>173</v>
      </c>
      <c r="C35" t="s">
        <v>931</v>
      </c>
      <c r="D35" t="s">
        <v>30</v>
      </c>
      <c r="E35" t="s">
        <v>60</v>
      </c>
      <c r="F35">
        <v>1310</v>
      </c>
      <c r="G35">
        <v>940</v>
      </c>
      <c r="H35">
        <v>360</v>
      </c>
      <c r="I35">
        <v>15</v>
      </c>
      <c r="J35">
        <v>4</v>
      </c>
      <c r="K35">
        <v>0.266666666666666</v>
      </c>
      <c r="L35" s="4">
        <v>0.73333333333333295</v>
      </c>
    </row>
    <row r="36" spans="1:12" x14ac:dyDescent="0.25">
      <c r="A36" s="5">
        <v>46186</v>
      </c>
      <c r="B36" t="s">
        <v>709</v>
      </c>
      <c r="C36" t="s">
        <v>931</v>
      </c>
      <c r="D36" t="s">
        <v>30</v>
      </c>
      <c r="E36" t="s">
        <v>37</v>
      </c>
      <c r="F36">
        <v>1340</v>
      </c>
      <c r="G36">
        <v>1280</v>
      </c>
      <c r="H36">
        <v>60</v>
      </c>
      <c r="I36">
        <v>53</v>
      </c>
      <c r="J36">
        <v>1</v>
      </c>
      <c r="K36">
        <v>1.8867924528301799E-2</v>
      </c>
      <c r="L36" s="4">
        <v>0.98113207547169801</v>
      </c>
    </row>
    <row r="37" spans="1:12" x14ac:dyDescent="0.25">
      <c r="A37" s="5">
        <v>46186</v>
      </c>
      <c r="B37" t="s">
        <v>816</v>
      </c>
      <c r="C37" t="s">
        <v>931</v>
      </c>
      <c r="D37" t="s">
        <v>30</v>
      </c>
      <c r="E37" t="s">
        <v>37</v>
      </c>
      <c r="F37">
        <v>2250</v>
      </c>
      <c r="G37">
        <v>3860</v>
      </c>
      <c r="H37">
        <v>0</v>
      </c>
      <c r="I37">
        <v>23</v>
      </c>
      <c r="J37">
        <v>0</v>
      </c>
      <c r="K37">
        <v>0</v>
      </c>
      <c r="L37" s="4">
        <v>1</v>
      </c>
    </row>
    <row r="38" spans="1:12" x14ac:dyDescent="0.25">
      <c r="A38" s="5">
        <v>46186</v>
      </c>
      <c r="B38" t="s">
        <v>683</v>
      </c>
      <c r="C38" t="s">
        <v>931</v>
      </c>
      <c r="D38" t="s">
        <v>30</v>
      </c>
      <c r="E38" t="s">
        <v>31</v>
      </c>
      <c r="F38">
        <v>180</v>
      </c>
      <c r="G38">
        <v>110</v>
      </c>
      <c r="H38">
        <v>60</v>
      </c>
      <c r="I38">
        <v>2</v>
      </c>
      <c r="J38">
        <v>1</v>
      </c>
      <c r="K38">
        <v>0.5</v>
      </c>
      <c r="L38" s="4">
        <v>0.5</v>
      </c>
    </row>
    <row r="39" spans="1:12" x14ac:dyDescent="0.25">
      <c r="A39" s="5">
        <v>46186</v>
      </c>
      <c r="B39" t="s">
        <v>423</v>
      </c>
      <c r="C39" t="s">
        <v>931</v>
      </c>
      <c r="D39" t="s">
        <v>30</v>
      </c>
      <c r="E39" t="s">
        <v>37</v>
      </c>
      <c r="F39">
        <v>1600</v>
      </c>
      <c r="G39">
        <v>1520</v>
      </c>
      <c r="H39">
        <v>80</v>
      </c>
      <c r="I39">
        <v>40</v>
      </c>
      <c r="J39">
        <v>2</v>
      </c>
      <c r="K39">
        <v>0.05</v>
      </c>
      <c r="L39" s="4">
        <v>0.95</v>
      </c>
    </row>
    <row r="40" spans="1:12" x14ac:dyDescent="0.25">
      <c r="A40" s="5">
        <v>46186</v>
      </c>
      <c r="B40" t="s">
        <v>539</v>
      </c>
      <c r="C40" t="s">
        <v>931</v>
      </c>
      <c r="D40" t="s">
        <v>30</v>
      </c>
      <c r="E40" t="s">
        <v>108</v>
      </c>
      <c r="F40">
        <v>700</v>
      </c>
      <c r="G40">
        <v>660</v>
      </c>
      <c r="H40">
        <v>40</v>
      </c>
      <c r="I40">
        <v>18</v>
      </c>
      <c r="J40">
        <v>1</v>
      </c>
      <c r="K40">
        <v>5.5555555555555497E-2</v>
      </c>
      <c r="L40" s="4">
        <v>0.94444444444444398</v>
      </c>
    </row>
    <row r="41" spans="1:12" x14ac:dyDescent="0.25">
      <c r="A41" s="5">
        <v>46186</v>
      </c>
      <c r="B41" t="s">
        <v>327</v>
      </c>
      <c r="C41" t="s">
        <v>931</v>
      </c>
      <c r="D41" t="s">
        <v>30</v>
      </c>
      <c r="E41" t="s">
        <v>42</v>
      </c>
      <c r="F41">
        <v>1000</v>
      </c>
      <c r="G41">
        <v>1020</v>
      </c>
      <c r="H41">
        <v>0</v>
      </c>
      <c r="I41">
        <v>16</v>
      </c>
      <c r="J41">
        <v>0</v>
      </c>
      <c r="K41">
        <v>0</v>
      </c>
      <c r="L41" s="4">
        <v>1</v>
      </c>
    </row>
    <row r="42" spans="1:12" x14ac:dyDescent="0.25">
      <c r="A42" s="5">
        <v>46186</v>
      </c>
      <c r="B42" t="s">
        <v>715</v>
      </c>
      <c r="C42" t="s">
        <v>931</v>
      </c>
      <c r="D42" t="s">
        <v>30</v>
      </c>
      <c r="E42" t="s">
        <v>31</v>
      </c>
      <c r="F42">
        <v>70</v>
      </c>
      <c r="G42">
        <v>80</v>
      </c>
      <c r="H42">
        <v>0</v>
      </c>
      <c r="I42">
        <v>1</v>
      </c>
      <c r="J42">
        <v>0</v>
      </c>
      <c r="K42">
        <v>0</v>
      </c>
      <c r="L42" s="4">
        <v>1</v>
      </c>
    </row>
    <row r="43" spans="1:12" x14ac:dyDescent="0.25">
      <c r="A43" s="5">
        <v>46186</v>
      </c>
      <c r="B43" t="s">
        <v>477</v>
      </c>
      <c r="C43" t="s">
        <v>931</v>
      </c>
      <c r="D43" t="s">
        <v>30</v>
      </c>
      <c r="E43" t="s">
        <v>37</v>
      </c>
      <c r="F43">
        <v>780</v>
      </c>
      <c r="G43">
        <v>730</v>
      </c>
      <c r="H43">
        <v>45</v>
      </c>
      <c r="I43">
        <v>19</v>
      </c>
      <c r="J43">
        <v>1</v>
      </c>
      <c r="K43">
        <v>5.2631578947368397E-2</v>
      </c>
      <c r="L43" s="4">
        <v>0.94736842105263097</v>
      </c>
    </row>
    <row r="44" spans="1:12" x14ac:dyDescent="0.25">
      <c r="A44" s="5">
        <v>46186</v>
      </c>
      <c r="B44" t="s">
        <v>460</v>
      </c>
      <c r="C44" t="s">
        <v>931</v>
      </c>
      <c r="D44" t="s">
        <v>30</v>
      </c>
      <c r="E44" t="s">
        <v>60</v>
      </c>
      <c r="F44">
        <v>80</v>
      </c>
      <c r="G44">
        <v>60</v>
      </c>
      <c r="H44">
        <v>20</v>
      </c>
      <c r="I44">
        <v>3</v>
      </c>
      <c r="J44">
        <v>1</v>
      </c>
      <c r="K44">
        <v>0.33333333333333298</v>
      </c>
      <c r="L44" s="4">
        <v>0.66666666666666596</v>
      </c>
    </row>
    <row r="45" spans="1:12" x14ac:dyDescent="0.25">
      <c r="A45" s="5">
        <v>46186</v>
      </c>
      <c r="B45" t="s">
        <v>235</v>
      </c>
      <c r="C45" t="s">
        <v>931</v>
      </c>
      <c r="D45" t="s">
        <v>30</v>
      </c>
      <c r="E45" t="s">
        <v>37</v>
      </c>
      <c r="F45">
        <v>130</v>
      </c>
      <c r="G45">
        <v>110</v>
      </c>
      <c r="H45">
        <v>20</v>
      </c>
      <c r="I45">
        <v>3</v>
      </c>
      <c r="J45">
        <v>1</v>
      </c>
      <c r="K45">
        <v>0.33333333333333298</v>
      </c>
      <c r="L45" s="4">
        <v>0.66666666666666596</v>
      </c>
    </row>
    <row r="46" spans="1:12" x14ac:dyDescent="0.25">
      <c r="A46" s="5">
        <v>46186</v>
      </c>
      <c r="B46" t="s">
        <v>474</v>
      </c>
      <c r="C46" t="s">
        <v>931</v>
      </c>
      <c r="D46" t="s">
        <v>30</v>
      </c>
      <c r="E46" t="s">
        <v>60</v>
      </c>
      <c r="F46">
        <v>340</v>
      </c>
      <c r="G46">
        <v>400</v>
      </c>
      <c r="H46">
        <v>0</v>
      </c>
      <c r="I46">
        <v>4</v>
      </c>
      <c r="J46">
        <v>0</v>
      </c>
      <c r="K46">
        <v>0</v>
      </c>
      <c r="L46" s="4">
        <v>1</v>
      </c>
    </row>
    <row r="47" spans="1:12" x14ac:dyDescent="0.25">
      <c r="A47" s="5">
        <v>46186</v>
      </c>
      <c r="B47" t="s">
        <v>255</v>
      </c>
      <c r="C47" t="s">
        <v>931</v>
      </c>
      <c r="D47" t="s">
        <v>30</v>
      </c>
      <c r="E47" t="s">
        <v>31</v>
      </c>
      <c r="F47">
        <v>660</v>
      </c>
      <c r="G47">
        <v>460</v>
      </c>
      <c r="H47">
        <v>180</v>
      </c>
      <c r="I47">
        <v>16</v>
      </c>
      <c r="J47">
        <v>4</v>
      </c>
      <c r="K47">
        <v>0.25</v>
      </c>
      <c r="L47" s="4">
        <v>0.75</v>
      </c>
    </row>
    <row r="48" spans="1:12" x14ac:dyDescent="0.25">
      <c r="A48" s="5">
        <v>46186</v>
      </c>
      <c r="B48" t="s">
        <v>79</v>
      </c>
      <c r="C48" t="s">
        <v>931</v>
      </c>
      <c r="D48" t="s">
        <v>30</v>
      </c>
      <c r="E48" t="s">
        <v>31</v>
      </c>
      <c r="F48">
        <v>420</v>
      </c>
      <c r="G48">
        <v>420</v>
      </c>
      <c r="H48">
        <v>0</v>
      </c>
      <c r="I48">
        <v>13</v>
      </c>
      <c r="J48">
        <v>0</v>
      </c>
      <c r="K48">
        <v>0</v>
      </c>
      <c r="L48" s="4">
        <v>1</v>
      </c>
    </row>
    <row r="49" spans="1:12" x14ac:dyDescent="0.25">
      <c r="A49" s="5">
        <v>46186</v>
      </c>
      <c r="B49" t="s">
        <v>820</v>
      </c>
      <c r="C49" t="s">
        <v>931</v>
      </c>
      <c r="D49" t="s">
        <v>30</v>
      </c>
      <c r="E49" t="s">
        <v>31</v>
      </c>
      <c r="F49">
        <v>1740</v>
      </c>
      <c r="G49">
        <v>1980</v>
      </c>
      <c r="H49">
        <v>0</v>
      </c>
      <c r="I49">
        <v>53</v>
      </c>
      <c r="J49">
        <v>0</v>
      </c>
      <c r="K49">
        <v>0</v>
      </c>
      <c r="L49" s="4">
        <v>1</v>
      </c>
    </row>
    <row r="50" spans="1:12" x14ac:dyDescent="0.25">
      <c r="A50" s="5">
        <v>46186</v>
      </c>
      <c r="B50" t="s">
        <v>732</v>
      </c>
      <c r="C50" t="s">
        <v>931</v>
      </c>
      <c r="D50" t="s">
        <v>30</v>
      </c>
      <c r="E50" t="s">
        <v>42</v>
      </c>
      <c r="F50">
        <v>280</v>
      </c>
      <c r="G50">
        <v>270</v>
      </c>
      <c r="H50">
        <v>0</v>
      </c>
      <c r="I50">
        <v>7</v>
      </c>
      <c r="J50">
        <v>0</v>
      </c>
      <c r="K50">
        <v>0</v>
      </c>
      <c r="L50" s="4">
        <v>1</v>
      </c>
    </row>
    <row r="51" spans="1:12" x14ac:dyDescent="0.25">
      <c r="A51" s="5">
        <v>46186</v>
      </c>
      <c r="B51" t="s">
        <v>158</v>
      </c>
      <c r="C51" t="s">
        <v>931</v>
      </c>
      <c r="D51" t="s">
        <v>30</v>
      </c>
      <c r="E51" t="s">
        <v>42</v>
      </c>
      <c r="F51">
        <v>960</v>
      </c>
      <c r="G51">
        <v>5650</v>
      </c>
      <c r="H51">
        <v>0</v>
      </c>
      <c r="I51">
        <v>48</v>
      </c>
      <c r="J51">
        <v>0</v>
      </c>
      <c r="K51">
        <v>0</v>
      </c>
      <c r="L51" s="4">
        <v>1</v>
      </c>
    </row>
    <row r="52" spans="1:12" x14ac:dyDescent="0.25">
      <c r="A52" s="5">
        <v>46186</v>
      </c>
      <c r="B52" t="s">
        <v>546</v>
      </c>
      <c r="C52" t="s">
        <v>931</v>
      </c>
      <c r="D52" t="s">
        <v>30</v>
      </c>
      <c r="E52" t="s">
        <v>60</v>
      </c>
      <c r="F52">
        <v>170</v>
      </c>
      <c r="G52">
        <v>790</v>
      </c>
      <c r="H52">
        <v>0</v>
      </c>
      <c r="I52">
        <v>4</v>
      </c>
      <c r="J52">
        <v>0</v>
      </c>
      <c r="K52">
        <v>0</v>
      </c>
      <c r="L52" s="4">
        <v>1</v>
      </c>
    </row>
    <row r="53" spans="1:12" x14ac:dyDescent="0.25">
      <c r="A53" s="5">
        <v>46186</v>
      </c>
      <c r="B53" t="s">
        <v>488</v>
      </c>
      <c r="C53" t="s">
        <v>931</v>
      </c>
      <c r="D53" t="s">
        <v>30</v>
      </c>
      <c r="E53" t="s">
        <v>42</v>
      </c>
      <c r="F53">
        <v>80</v>
      </c>
      <c r="G53">
        <v>140</v>
      </c>
      <c r="H53">
        <v>0</v>
      </c>
      <c r="I53">
        <v>2</v>
      </c>
      <c r="J53">
        <v>0</v>
      </c>
      <c r="K53">
        <v>0</v>
      </c>
      <c r="L53" s="4">
        <v>1</v>
      </c>
    </row>
    <row r="54" spans="1:12" x14ac:dyDescent="0.25">
      <c r="A54" s="5">
        <v>46186</v>
      </c>
      <c r="B54" t="s">
        <v>367</v>
      </c>
      <c r="C54" t="s">
        <v>931</v>
      </c>
      <c r="D54" t="s">
        <v>30</v>
      </c>
      <c r="E54" t="s">
        <v>42</v>
      </c>
      <c r="F54">
        <v>2630</v>
      </c>
      <c r="G54">
        <v>0</v>
      </c>
      <c r="H54">
        <v>0</v>
      </c>
      <c r="I54">
        <v>30</v>
      </c>
      <c r="J54">
        <v>0</v>
      </c>
      <c r="K54">
        <v>0</v>
      </c>
      <c r="L54" s="4">
        <v>1</v>
      </c>
    </row>
    <row r="55" spans="1:12" x14ac:dyDescent="0.25">
      <c r="A55" s="5">
        <v>46186</v>
      </c>
      <c r="B55" t="s">
        <v>757</v>
      </c>
      <c r="C55" t="s">
        <v>931</v>
      </c>
      <c r="D55" t="s">
        <v>30</v>
      </c>
      <c r="E55" t="s">
        <v>31</v>
      </c>
      <c r="F55">
        <v>880</v>
      </c>
      <c r="G55">
        <v>1080</v>
      </c>
      <c r="H55">
        <v>0</v>
      </c>
      <c r="I55">
        <v>21</v>
      </c>
      <c r="J55">
        <v>0</v>
      </c>
      <c r="K55">
        <v>0</v>
      </c>
      <c r="L55" s="4">
        <v>1</v>
      </c>
    </row>
    <row r="56" spans="1:12" x14ac:dyDescent="0.25">
      <c r="A56" s="5">
        <v>46186</v>
      </c>
      <c r="B56" t="s">
        <v>485</v>
      </c>
      <c r="C56" t="s">
        <v>931</v>
      </c>
      <c r="D56" t="s">
        <v>30</v>
      </c>
      <c r="E56" t="s">
        <v>31</v>
      </c>
      <c r="F56">
        <v>1290</v>
      </c>
      <c r="G56">
        <v>1680</v>
      </c>
      <c r="H56">
        <v>0</v>
      </c>
      <c r="I56">
        <v>34</v>
      </c>
      <c r="J56">
        <v>0</v>
      </c>
      <c r="K56">
        <v>0</v>
      </c>
      <c r="L56" s="4">
        <v>1</v>
      </c>
    </row>
    <row r="57" spans="1:12" x14ac:dyDescent="0.25">
      <c r="A57" s="5">
        <v>46186</v>
      </c>
      <c r="B57" t="s">
        <v>856</v>
      </c>
      <c r="C57" t="s">
        <v>931</v>
      </c>
      <c r="D57" t="s">
        <v>30</v>
      </c>
      <c r="E57" t="s">
        <v>37</v>
      </c>
      <c r="F57">
        <v>0</v>
      </c>
      <c r="G57">
        <v>720</v>
      </c>
      <c r="H57">
        <v>0</v>
      </c>
      <c r="I57">
        <v>0</v>
      </c>
      <c r="J57">
        <v>0</v>
      </c>
      <c r="K57" t="s">
        <v>932</v>
      </c>
      <c r="L57" s="4" t="s">
        <v>932</v>
      </c>
    </row>
    <row r="58" spans="1:12" x14ac:dyDescent="0.25">
      <c r="A58" s="5">
        <v>46186</v>
      </c>
      <c r="B58" t="s">
        <v>170</v>
      </c>
      <c r="C58" t="s">
        <v>931</v>
      </c>
      <c r="D58" t="s">
        <v>30</v>
      </c>
      <c r="E58" t="s">
        <v>108</v>
      </c>
      <c r="F58">
        <v>360</v>
      </c>
      <c r="G58">
        <v>460</v>
      </c>
      <c r="H58">
        <v>0</v>
      </c>
      <c r="I58">
        <v>11</v>
      </c>
      <c r="J58">
        <v>0</v>
      </c>
      <c r="K58">
        <v>0</v>
      </c>
      <c r="L58" s="4">
        <v>1</v>
      </c>
    </row>
    <row r="59" spans="1:12" x14ac:dyDescent="0.25">
      <c r="A59" s="5">
        <v>46186</v>
      </c>
      <c r="B59" t="s">
        <v>122</v>
      </c>
      <c r="C59" t="s">
        <v>931</v>
      </c>
      <c r="D59" t="s">
        <v>30</v>
      </c>
      <c r="E59" t="s">
        <v>60</v>
      </c>
      <c r="F59">
        <v>900</v>
      </c>
      <c r="G59">
        <v>419</v>
      </c>
      <c r="H59">
        <v>0</v>
      </c>
      <c r="I59">
        <v>6</v>
      </c>
      <c r="J59">
        <v>0</v>
      </c>
      <c r="K59">
        <v>0</v>
      </c>
      <c r="L59" s="4">
        <v>1</v>
      </c>
    </row>
    <row r="60" spans="1:12" x14ac:dyDescent="0.25">
      <c r="A60" s="5">
        <v>46186</v>
      </c>
      <c r="B60" t="s">
        <v>410</v>
      </c>
      <c r="C60" t="s">
        <v>931</v>
      </c>
      <c r="D60" t="s">
        <v>30</v>
      </c>
      <c r="E60" t="s">
        <v>37</v>
      </c>
      <c r="F60">
        <v>480</v>
      </c>
      <c r="G60">
        <v>720</v>
      </c>
      <c r="H60">
        <v>0</v>
      </c>
      <c r="I60">
        <v>6</v>
      </c>
      <c r="J60">
        <v>0</v>
      </c>
      <c r="K60">
        <v>0</v>
      </c>
      <c r="L60" s="4">
        <v>1</v>
      </c>
    </row>
    <row r="61" spans="1:12" x14ac:dyDescent="0.25">
      <c r="A61" s="5">
        <v>46186</v>
      </c>
      <c r="B61" t="s">
        <v>309</v>
      </c>
      <c r="C61" t="s">
        <v>931</v>
      </c>
      <c r="D61" t="s">
        <v>30</v>
      </c>
      <c r="E61" t="s">
        <v>42</v>
      </c>
      <c r="F61">
        <v>1680</v>
      </c>
      <c r="G61">
        <v>1630</v>
      </c>
      <c r="H61">
        <v>40</v>
      </c>
      <c r="I61">
        <v>26</v>
      </c>
      <c r="J61">
        <v>2</v>
      </c>
      <c r="K61">
        <v>7.69230769230769E-2</v>
      </c>
      <c r="L61" s="4">
        <v>0.92307692307692302</v>
      </c>
    </row>
    <row r="62" spans="1:12" x14ac:dyDescent="0.25">
      <c r="A62" s="5">
        <v>46186</v>
      </c>
      <c r="B62" t="s">
        <v>562</v>
      </c>
      <c r="C62" t="s">
        <v>931</v>
      </c>
      <c r="D62" t="s">
        <v>30</v>
      </c>
      <c r="E62" t="s">
        <v>60</v>
      </c>
      <c r="F62">
        <v>200</v>
      </c>
      <c r="G62">
        <v>180</v>
      </c>
      <c r="H62">
        <v>0</v>
      </c>
      <c r="I62">
        <v>5</v>
      </c>
      <c r="J62">
        <v>0</v>
      </c>
      <c r="K62">
        <v>0</v>
      </c>
      <c r="L62" s="4">
        <v>1</v>
      </c>
    </row>
    <row r="63" spans="1:12" x14ac:dyDescent="0.25">
      <c r="A63" s="5">
        <v>46186</v>
      </c>
      <c r="B63" t="s">
        <v>232</v>
      </c>
      <c r="C63" t="s">
        <v>931</v>
      </c>
      <c r="D63" t="s">
        <v>30</v>
      </c>
      <c r="E63" t="s">
        <v>42</v>
      </c>
      <c r="F63">
        <v>280</v>
      </c>
      <c r="G63">
        <v>300</v>
      </c>
      <c r="H63">
        <v>0</v>
      </c>
      <c r="I63">
        <v>7</v>
      </c>
      <c r="J63">
        <v>0</v>
      </c>
      <c r="K63">
        <v>0</v>
      </c>
      <c r="L63" s="4">
        <v>1</v>
      </c>
    </row>
    <row r="64" spans="1:12" x14ac:dyDescent="0.25">
      <c r="A64" s="5">
        <v>46186</v>
      </c>
      <c r="B64" t="s">
        <v>612</v>
      </c>
      <c r="C64" t="s">
        <v>931</v>
      </c>
      <c r="D64" t="s">
        <v>30</v>
      </c>
      <c r="E64" t="s">
        <v>31</v>
      </c>
      <c r="F64">
        <v>360</v>
      </c>
      <c r="G64">
        <v>650</v>
      </c>
      <c r="H64">
        <v>0</v>
      </c>
      <c r="I64">
        <v>14</v>
      </c>
      <c r="J64">
        <v>0</v>
      </c>
      <c r="K64">
        <v>0</v>
      </c>
      <c r="L64" s="4">
        <v>1</v>
      </c>
    </row>
    <row r="65" spans="1:12" x14ac:dyDescent="0.25">
      <c r="A65" s="5">
        <v>46186</v>
      </c>
      <c r="B65" t="s">
        <v>793</v>
      </c>
      <c r="C65" t="s">
        <v>931</v>
      </c>
      <c r="D65" t="s">
        <v>30</v>
      </c>
      <c r="E65" t="s">
        <v>31</v>
      </c>
      <c r="F65">
        <v>770</v>
      </c>
      <c r="G65">
        <v>820</v>
      </c>
      <c r="H65">
        <v>0</v>
      </c>
      <c r="I65">
        <v>21</v>
      </c>
      <c r="J65">
        <v>0</v>
      </c>
      <c r="K65">
        <v>0</v>
      </c>
      <c r="L65" s="4">
        <v>1</v>
      </c>
    </row>
    <row r="66" spans="1:12" x14ac:dyDescent="0.25">
      <c r="A66" s="5">
        <v>46186</v>
      </c>
      <c r="B66" t="s">
        <v>593</v>
      </c>
      <c r="C66" t="s">
        <v>931</v>
      </c>
      <c r="D66" t="s">
        <v>30</v>
      </c>
      <c r="E66" t="s">
        <v>60</v>
      </c>
      <c r="F66">
        <v>20</v>
      </c>
      <c r="G66">
        <v>30</v>
      </c>
      <c r="H66">
        <v>0</v>
      </c>
      <c r="I66">
        <v>1</v>
      </c>
      <c r="J66">
        <v>0</v>
      </c>
      <c r="K66">
        <v>0</v>
      </c>
      <c r="L66" s="4">
        <v>1</v>
      </c>
    </row>
    <row r="67" spans="1:12" x14ac:dyDescent="0.25">
      <c r="A67" s="5">
        <v>46186</v>
      </c>
      <c r="B67" t="s">
        <v>112</v>
      </c>
      <c r="C67" t="s">
        <v>931</v>
      </c>
      <c r="D67" t="s">
        <v>30</v>
      </c>
      <c r="E67" t="s">
        <v>60</v>
      </c>
      <c r="F67">
        <v>970</v>
      </c>
      <c r="G67">
        <v>1210</v>
      </c>
      <c r="H67">
        <v>0</v>
      </c>
      <c r="I67">
        <v>12</v>
      </c>
      <c r="J67">
        <v>0</v>
      </c>
      <c r="K67">
        <v>0</v>
      </c>
      <c r="L67" s="4">
        <v>1</v>
      </c>
    </row>
    <row r="68" spans="1:12" x14ac:dyDescent="0.25">
      <c r="A68" s="5">
        <v>46186</v>
      </c>
      <c r="B68" t="s">
        <v>363</v>
      </c>
      <c r="C68" t="s">
        <v>931</v>
      </c>
      <c r="D68" t="s">
        <v>30</v>
      </c>
      <c r="E68" t="s">
        <v>31</v>
      </c>
      <c r="F68">
        <v>470</v>
      </c>
      <c r="G68">
        <v>270</v>
      </c>
      <c r="H68">
        <v>190</v>
      </c>
      <c r="I68">
        <v>11</v>
      </c>
      <c r="J68">
        <v>4</v>
      </c>
      <c r="K68">
        <v>0.36363636363636298</v>
      </c>
      <c r="L68" s="4">
        <v>0.63636363636363602</v>
      </c>
    </row>
    <row r="69" spans="1:12" x14ac:dyDescent="0.25">
      <c r="A69" s="5">
        <v>46186</v>
      </c>
      <c r="B69" t="s">
        <v>705</v>
      </c>
      <c r="C69" t="s">
        <v>931</v>
      </c>
      <c r="D69" t="s">
        <v>30</v>
      </c>
      <c r="E69" t="s">
        <v>37</v>
      </c>
      <c r="F69">
        <v>620</v>
      </c>
      <c r="G69">
        <v>920</v>
      </c>
      <c r="H69">
        <v>0</v>
      </c>
      <c r="I69">
        <v>31</v>
      </c>
      <c r="J69">
        <v>0</v>
      </c>
      <c r="K69">
        <v>0</v>
      </c>
      <c r="L69" s="4">
        <v>1</v>
      </c>
    </row>
    <row r="70" spans="1:12" x14ac:dyDescent="0.25">
      <c r="A70" s="5">
        <v>46186</v>
      </c>
      <c r="B70" t="s">
        <v>536</v>
      </c>
      <c r="C70" t="s">
        <v>931</v>
      </c>
      <c r="D70" t="s">
        <v>30</v>
      </c>
      <c r="E70" t="s">
        <v>60</v>
      </c>
      <c r="F70">
        <v>1570</v>
      </c>
      <c r="G70">
        <v>2020</v>
      </c>
      <c r="H70">
        <v>0</v>
      </c>
      <c r="I70">
        <v>29</v>
      </c>
      <c r="J70">
        <v>0</v>
      </c>
      <c r="K70">
        <v>0</v>
      </c>
      <c r="L70" s="4">
        <v>1</v>
      </c>
    </row>
    <row r="71" spans="1:12" x14ac:dyDescent="0.25">
      <c r="A71" s="5">
        <v>46186</v>
      </c>
      <c r="B71" t="s">
        <v>51</v>
      </c>
      <c r="C71" t="s">
        <v>931</v>
      </c>
      <c r="D71" t="s">
        <v>30</v>
      </c>
      <c r="E71" t="s">
        <v>31</v>
      </c>
      <c r="F71">
        <v>0</v>
      </c>
      <c r="G71">
        <v>290</v>
      </c>
      <c r="H71">
        <v>0</v>
      </c>
      <c r="I71">
        <v>0</v>
      </c>
      <c r="J71">
        <v>0</v>
      </c>
      <c r="K71" t="s">
        <v>932</v>
      </c>
      <c r="L71" s="4" t="s">
        <v>932</v>
      </c>
    </row>
    <row r="72" spans="1:12" x14ac:dyDescent="0.25">
      <c r="A72" s="5">
        <v>46186</v>
      </c>
      <c r="B72" t="s">
        <v>413</v>
      </c>
      <c r="C72" t="s">
        <v>931</v>
      </c>
      <c r="D72" t="s">
        <v>30</v>
      </c>
      <c r="E72" t="s">
        <v>60</v>
      </c>
      <c r="F72">
        <v>270</v>
      </c>
      <c r="G72">
        <v>280</v>
      </c>
      <c r="H72">
        <v>0</v>
      </c>
      <c r="I72">
        <v>3</v>
      </c>
      <c r="J72">
        <v>0</v>
      </c>
      <c r="K72">
        <v>0</v>
      </c>
      <c r="L72" s="4">
        <v>1</v>
      </c>
    </row>
    <row r="73" spans="1:12" x14ac:dyDescent="0.25">
      <c r="A73" s="5">
        <v>46186</v>
      </c>
      <c r="B73" t="s">
        <v>583</v>
      </c>
      <c r="C73" t="s">
        <v>931</v>
      </c>
      <c r="D73" t="s">
        <v>30</v>
      </c>
      <c r="E73" t="s">
        <v>42</v>
      </c>
      <c r="F73">
        <v>870</v>
      </c>
      <c r="G73">
        <v>790</v>
      </c>
      <c r="H73">
        <v>80</v>
      </c>
      <c r="I73">
        <v>12</v>
      </c>
      <c r="J73">
        <v>2</v>
      </c>
      <c r="K73">
        <v>0.16666666666666599</v>
      </c>
      <c r="L73" s="4">
        <v>0.83333333333333304</v>
      </c>
    </row>
    <row r="74" spans="1:12" x14ac:dyDescent="0.25">
      <c r="A74" s="5">
        <v>46186</v>
      </c>
      <c r="B74" t="s">
        <v>542</v>
      </c>
      <c r="C74" t="s">
        <v>931</v>
      </c>
      <c r="D74" t="s">
        <v>30</v>
      </c>
      <c r="E74" t="s">
        <v>42</v>
      </c>
      <c r="F74">
        <v>700</v>
      </c>
      <c r="G74">
        <v>650</v>
      </c>
      <c r="H74">
        <v>40</v>
      </c>
      <c r="I74">
        <v>20</v>
      </c>
      <c r="J74">
        <v>1</v>
      </c>
      <c r="K74">
        <v>0.05</v>
      </c>
      <c r="L74" s="4">
        <v>0.95</v>
      </c>
    </row>
    <row r="75" spans="1:12" x14ac:dyDescent="0.25">
      <c r="A75" s="5">
        <v>46186</v>
      </c>
      <c r="B75" t="s">
        <v>200</v>
      </c>
      <c r="C75" t="s">
        <v>931</v>
      </c>
      <c r="D75" t="s">
        <v>30</v>
      </c>
      <c r="E75" t="s">
        <v>42</v>
      </c>
      <c r="F75">
        <v>180</v>
      </c>
      <c r="G75">
        <v>220</v>
      </c>
      <c r="H75">
        <v>0</v>
      </c>
      <c r="I75">
        <v>9</v>
      </c>
      <c r="J75">
        <v>0</v>
      </c>
      <c r="K75">
        <v>0</v>
      </c>
      <c r="L75" s="4">
        <v>1</v>
      </c>
    </row>
    <row r="76" spans="1:12" x14ac:dyDescent="0.25">
      <c r="A76" s="5">
        <v>46186</v>
      </c>
      <c r="B76" t="s">
        <v>645</v>
      </c>
      <c r="C76" t="s">
        <v>931</v>
      </c>
      <c r="D76" t="s">
        <v>30</v>
      </c>
      <c r="E76" t="s">
        <v>42</v>
      </c>
      <c r="F76">
        <v>320</v>
      </c>
      <c r="G76">
        <v>430</v>
      </c>
      <c r="H76">
        <v>0</v>
      </c>
      <c r="I76">
        <v>8</v>
      </c>
      <c r="J76">
        <v>0</v>
      </c>
      <c r="K76">
        <v>0</v>
      </c>
      <c r="L76" s="4">
        <v>1</v>
      </c>
    </row>
    <row r="77" spans="1:12" x14ac:dyDescent="0.25">
      <c r="A77" s="5">
        <v>46186</v>
      </c>
      <c r="B77" t="s">
        <v>426</v>
      </c>
      <c r="C77" t="s">
        <v>931</v>
      </c>
      <c r="D77" t="s">
        <v>30</v>
      </c>
      <c r="E77" t="s">
        <v>42</v>
      </c>
      <c r="F77">
        <v>820</v>
      </c>
      <c r="G77">
        <v>790</v>
      </c>
      <c r="H77">
        <v>20</v>
      </c>
      <c r="I77">
        <v>21</v>
      </c>
      <c r="J77">
        <v>1</v>
      </c>
      <c r="K77">
        <v>4.7619047619047603E-2</v>
      </c>
      <c r="L77" s="4">
        <v>0.952380952380952</v>
      </c>
    </row>
    <row r="78" spans="1:12" x14ac:dyDescent="0.25">
      <c r="A78" s="5">
        <v>46186</v>
      </c>
      <c r="B78" t="s">
        <v>661</v>
      </c>
      <c r="C78" t="s">
        <v>931</v>
      </c>
      <c r="D78" t="s">
        <v>30</v>
      </c>
      <c r="E78" t="s">
        <v>42</v>
      </c>
      <c r="F78">
        <v>680</v>
      </c>
      <c r="G78">
        <v>750</v>
      </c>
      <c r="H78">
        <v>0</v>
      </c>
      <c r="I78">
        <v>13</v>
      </c>
      <c r="J78">
        <v>0</v>
      </c>
      <c r="K78">
        <v>0</v>
      </c>
      <c r="L78" s="4">
        <v>1</v>
      </c>
    </row>
    <row r="79" spans="1:12" x14ac:dyDescent="0.25">
      <c r="A79" s="5">
        <v>46186</v>
      </c>
      <c r="B79" t="s">
        <v>606</v>
      </c>
      <c r="C79" t="s">
        <v>931</v>
      </c>
      <c r="D79" t="s">
        <v>30</v>
      </c>
      <c r="E79" t="s">
        <v>42</v>
      </c>
      <c r="F79">
        <v>840</v>
      </c>
      <c r="G79">
        <v>1350</v>
      </c>
      <c r="H79">
        <v>0</v>
      </c>
      <c r="I79">
        <v>23</v>
      </c>
      <c r="J79">
        <v>0</v>
      </c>
      <c r="K79">
        <v>0</v>
      </c>
      <c r="L79" s="4">
        <v>1</v>
      </c>
    </row>
    <row r="80" spans="1:12" x14ac:dyDescent="0.25">
      <c r="A80" s="5">
        <v>46186</v>
      </c>
      <c r="B80" t="s">
        <v>429</v>
      </c>
      <c r="C80" t="s">
        <v>931</v>
      </c>
      <c r="D80" t="s">
        <v>30</v>
      </c>
      <c r="E80" t="s">
        <v>108</v>
      </c>
      <c r="F80">
        <v>580</v>
      </c>
      <c r="G80">
        <v>640</v>
      </c>
      <c r="H80">
        <v>0</v>
      </c>
      <c r="I80">
        <v>17</v>
      </c>
      <c r="J80">
        <v>0</v>
      </c>
      <c r="K80">
        <v>0</v>
      </c>
      <c r="L80" s="4">
        <v>1</v>
      </c>
    </row>
    <row r="81" spans="1:12" x14ac:dyDescent="0.25">
      <c r="A81" s="5">
        <v>46186</v>
      </c>
      <c r="B81" t="s">
        <v>690</v>
      </c>
      <c r="C81" t="s">
        <v>931</v>
      </c>
      <c r="D81" t="s">
        <v>30</v>
      </c>
      <c r="E81" t="s">
        <v>31</v>
      </c>
      <c r="F81">
        <v>240</v>
      </c>
      <c r="G81">
        <v>250</v>
      </c>
      <c r="H81">
        <v>0</v>
      </c>
      <c r="I81">
        <v>6</v>
      </c>
      <c r="J81">
        <v>0</v>
      </c>
      <c r="K81">
        <v>0</v>
      </c>
      <c r="L81" s="4">
        <v>1</v>
      </c>
    </row>
    <row r="82" spans="1:12" x14ac:dyDescent="0.25">
      <c r="A82" s="5">
        <v>46186</v>
      </c>
      <c r="B82" t="s">
        <v>658</v>
      </c>
      <c r="C82" t="s">
        <v>931</v>
      </c>
      <c r="D82" t="s">
        <v>30</v>
      </c>
      <c r="E82" t="s">
        <v>31</v>
      </c>
      <c r="F82">
        <v>140</v>
      </c>
      <c r="G82">
        <v>200</v>
      </c>
      <c r="H82">
        <v>0</v>
      </c>
      <c r="I82">
        <v>7</v>
      </c>
      <c r="J82">
        <v>0</v>
      </c>
      <c r="K82">
        <v>0</v>
      </c>
      <c r="L82" s="4">
        <v>1</v>
      </c>
    </row>
    <row r="83" spans="1:12" x14ac:dyDescent="0.25">
      <c r="A83" s="5">
        <v>46186</v>
      </c>
      <c r="B83" t="s">
        <v>648</v>
      </c>
      <c r="C83" t="s">
        <v>931</v>
      </c>
      <c r="D83" t="s">
        <v>30</v>
      </c>
      <c r="E83" t="s">
        <v>108</v>
      </c>
      <c r="F83">
        <v>1800</v>
      </c>
      <c r="G83">
        <v>0</v>
      </c>
      <c r="H83">
        <v>0</v>
      </c>
      <c r="I83">
        <v>17</v>
      </c>
      <c r="J83">
        <v>0</v>
      </c>
      <c r="K83">
        <v>0</v>
      </c>
      <c r="L83" s="4">
        <v>1</v>
      </c>
    </row>
    <row r="84" spans="1:12" x14ac:dyDescent="0.25">
      <c r="A84" s="5">
        <v>46186</v>
      </c>
      <c r="B84" t="s">
        <v>323</v>
      </c>
      <c r="C84" t="s">
        <v>931</v>
      </c>
      <c r="D84" t="s">
        <v>30</v>
      </c>
      <c r="E84" t="s">
        <v>60</v>
      </c>
      <c r="F84">
        <v>720</v>
      </c>
      <c r="G84">
        <v>950</v>
      </c>
      <c r="H84">
        <v>0</v>
      </c>
      <c r="I84">
        <v>7</v>
      </c>
      <c r="J84">
        <v>0</v>
      </c>
      <c r="K84">
        <v>0</v>
      </c>
      <c r="L84" s="4">
        <v>1</v>
      </c>
    </row>
    <row r="85" spans="1:12" x14ac:dyDescent="0.25">
      <c r="A85" s="5">
        <v>46186</v>
      </c>
      <c r="B85" t="s">
        <v>273</v>
      </c>
      <c r="C85" t="s">
        <v>931</v>
      </c>
      <c r="D85" t="s">
        <v>30</v>
      </c>
      <c r="E85" t="s">
        <v>42</v>
      </c>
      <c r="F85">
        <v>880</v>
      </c>
      <c r="G85">
        <v>970</v>
      </c>
      <c r="H85">
        <v>0</v>
      </c>
      <c r="I85">
        <v>18</v>
      </c>
      <c r="J85">
        <v>0</v>
      </c>
      <c r="K85">
        <v>0</v>
      </c>
      <c r="L85" s="4">
        <v>1</v>
      </c>
    </row>
    <row r="86" spans="1:12" x14ac:dyDescent="0.25">
      <c r="A86" s="5">
        <v>46186</v>
      </c>
      <c r="B86" t="s">
        <v>131</v>
      </c>
      <c r="C86" t="s">
        <v>931</v>
      </c>
      <c r="D86" t="s">
        <v>30</v>
      </c>
      <c r="E86" t="s">
        <v>31</v>
      </c>
      <c r="F86">
        <v>710</v>
      </c>
      <c r="G86">
        <v>810</v>
      </c>
      <c r="H86">
        <v>0</v>
      </c>
      <c r="I86">
        <v>20</v>
      </c>
      <c r="J86">
        <v>0</v>
      </c>
      <c r="K86">
        <v>0</v>
      </c>
      <c r="L86" s="4">
        <v>1</v>
      </c>
    </row>
    <row r="87" spans="1:12" x14ac:dyDescent="0.25">
      <c r="A87" s="5">
        <v>46186</v>
      </c>
      <c r="B87" t="s">
        <v>906</v>
      </c>
      <c r="C87" t="s">
        <v>931</v>
      </c>
      <c r="D87" t="s">
        <v>30</v>
      </c>
      <c r="E87" t="s">
        <v>37</v>
      </c>
      <c r="F87">
        <v>0</v>
      </c>
      <c r="G87">
        <v>960</v>
      </c>
      <c r="H87">
        <v>0</v>
      </c>
      <c r="I87">
        <v>0</v>
      </c>
      <c r="J87">
        <v>0</v>
      </c>
      <c r="K87" t="s">
        <v>932</v>
      </c>
      <c r="L87" s="4" t="s">
        <v>932</v>
      </c>
    </row>
    <row r="88" spans="1:12" x14ac:dyDescent="0.25">
      <c r="A88" s="5">
        <v>46186</v>
      </c>
      <c r="B88" t="s">
        <v>664</v>
      </c>
      <c r="C88" t="s">
        <v>931</v>
      </c>
      <c r="D88" t="s">
        <v>30</v>
      </c>
      <c r="E88" t="s">
        <v>42</v>
      </c>
      <c r="F88">
        <v>1160</v>
      </c>
      <c r="G88">
        <v>1180</v>
      </c>
      <c r="H88">
        <v>0</v>
      </c>
      <c r="I88">
        <v>26</v>
      </c>
      <c r="J88">
        <v>0</v>
      </c>
      <c r="K88">
        <v>0</v>
      </c>
      <c r="L88" s="4">
        <v>1</v>
      </c>
    </row>
    <row r="89" spans="1:12" x14ac:dyDescent="0.25">
      <c r="A89" s="5">
        <v>46186</v>
      </c>
      <c r="B89" t="s">
        <v>829</v>
      </c>
      <c r="C89" t="s">
        <v>931</v>
      </c>
      <c r="D89" t="s">
        <v>30</v>
      </c>
      <c r="E89" t="s">
        <v>108</v>
      </c>
      <c r="F89">
        <v>0</v>
      </c>
      <c r="G89">
        <v>120</v>
      </c>
      <c r="H89">
        <v>0</v>
      </c>
      <c r="I89">
        <v>0</v>
      </c>
      <c r="J89">
        <v>0</v>
      </c>
      <c r="K89" t="s">
        <v>932</v>
      </c>
      <c r="L89" s="4" t="s">
        <v>932</v>
      </c>
    </row>
    <row r="90" spans="1:12" x14ac:dyDescent="0.25">
      <c r="A90" s="5">
        <v>46186</v>
      </c>
      <c r="B90" t="s">
        <v>504</v>
      </c>
      <c r="C90" t="s">
        <v>931</v>
      </c>
      <c r="D90" t="s">
        <v>30</v>
      </c>
      <c r="E90" t="s">
        <v>108</v>
      </c>
      <c r="F90">
        <v>120</v>
      </c>
      <c r="G90">
        <v>140</v>
      </c>
      <c r="H90">
        <v>0</v>
      </c>
      <c r="I90">
        <v>3</v>
      </c>
      <c r="J90">
        <v>0</v>
      </c>
      <c r="K90">
        <v>0</v>
      </c>
      <c r="L90" s="4">
        <v>1</v>
      </c>
    </row>
    <row r="91" spans="1:12" x14ac:dyDescent="0.25">
      <c r="A91" s="5">
        <v>46186</v>
      </c>
      <c r="B91" t="s">
        <v>667</v>
      </c>
      <c r="C91" t="s">
        <v>931</v>
      </c>
      <c r="D91" t="s">
        <v>30</v>
      </c>
      <c r="E91" t="s">
        <v>31</v>
      </c>
      <c r="F91">
        <v>620</v>
      </c>
      <c r="G91">
        <v>1280</v>
      </c>
      <c r="H91">
        <v>0</v>
      </c>
      <c r="I91">
        <v>23</v>
      </c>
      <c r="J91">
        <v>0</v>
      </c>
      <c r="K91">
        <v>0</v>
      </c>
      <c r="L91" s="4">
        <v>1</v>
      </c>
    </row>
    <row r="92" spans="1:12" x14ac:dyDescent="0.25">
      <c r="A92" s="5">
        <v>46186</v>
      </c>
      <c r="B92" t="s">
        <v>378</v>
      </c>
      <c r="C92" t="s">
        <v>931</v>
      </c>
      <c r="D92" t="s">
        <v>30</v>
      </c>
      <c r="E92" t="s">
        <v>31</v>
      </c>
      <c r="F92">
        <v>600</v>
      </c>
      <c r="G92">
        <v>670</v>
      </c>
      <c r="H92">
        <v>0</v>
      </c>
      <c r="I92">
        <v>14</v>
      </c>
      <c r="J92">
        <v>0</v>
      </c>
      <c r="K92">
        <v>0</v>
      </c>
      <c r="L92" s="4">
        <v>1</v>
      </c>
    </row>
    <row r="93" spans="1:12" x14ac:dyDescent="0.25">
      <c r="A93" s="5">
        <v>46186</v>
      </c>
      <c r="B93" t="s">
        <v>291</v>
      </c>
      <c r="C93" t="s">
        <v>931</v>
      </c>
      <c r="D93" t="s">
        <v>30</v>
      </c>
      <c r="E93" t="s">
        <v>42</v>
      </c>
      <c r="F93">
        <v>600</v>
      </c>
      <c r="G93">
        <v>440</v>
      </c>
      <c r="H93">
        <v>160</v>
      </c>
      <c r="I93">
        <v>15</v>
      </c>
      <c r="J93">
        <v>4</v>
      </c>
      <c r="K93">
        <v>0.266666666666666</v>
      </c>
      <c r="L93" s="4">
        <v>0.73333333333333295</v>
      </c>
    </row>
    <row r="94" spans="1:12" x14ac:dyDescent="0.25">
      <c r="A94" s="5">
        <v>46186</v>
      </c>
      <c r="B94" t="s">
        <v>217</v>
      </c>
      <c r="C94" t="s">
        <v>931</v>
      </c>
      <c r="D94" t="s">
        <v>30</v>
      </c>
      <c r="E94" t="s">
        <v>60</v>
      </c>
      <c r="F94">
        <v>570</v>
      </c>
      <c r="G94">
        <v>350</v>
      </c>
      <c r="H94">
        <v>210</v>
      </c>
      <c r="I94">
        <v>6</v>
      </c>
      <c r="J94">
        <v>2</v>
      </c>
      <c r="K94">
        <v>0.33333333333333298</v>
      </c>
      <c r="L94" s="4">
        <v>0.66666666666666596</v>
      </c>
    </row>
    <row r="95" spans="1:12" x14ac:dyDescent="0.25">
      <c r="A95" s="5">
        <v>46186</v>
      </c>
      <c r="B95" t="s">
        <v>397</v>
      </c>
      <c r="C95" t="s">
        <v>931</v>
      </c>
      <c r="D95" t="s">
        <v>30</v>
      </c>
      <c r="E95" t="s">
        <v>31</v>
      </c>
      <c r="F95">
        <v>230</v>
      </c>
      <c r="G95">
        <v>230</v>
      </c>
      <c r="H95">
        <v>0</v>
      </c>
      <c r="I95">
        <v>5</v>
      </c>
      <c r="J95">
        <v>0</v>
      </c>
      <c r="K95">
        <v>0</v>
      </c>
      <c r="L95" s="4">
        <v>1</v>
      </c>
    </row>
    <row r="96" spans="1:12" x14ac:dyDescent="0.25">
      <c r="A96" s="5">
        <v>46186</v>
      </c>
      <c r="B96" t="s">
        <v>586</v>
      </c>
      <c r="C96" t="s">
        <v>931</v>
      </c>
      <c r="D96" t="s">
        <v>30</v>
      </c>
      <c r="E96" t="s">
        <v>42</v>
      </c>
      <c r="F96">
        <v>280</v>
      </c>
      <c r="G96">
        <v>260</v>
      </c>
      <c r="H96">
        <v>0</v>
      </c>
      <c r="I96">
        <v>4</v>
      </c>
      <c r="J96">
        <v>0</v>
      </c>
      <c r="K96">
        <v>0</v>
      </c>
      <c r="L96" s="4">
        <v>1</v>
      </c>
    </row>
    <row r="97" spans="1:12" x14ac:dyDescent="0.25">
      <c r="A97" s="5">
        <v>46186</v>
      </c>
      <c r="B97" t="s">
        <v>886</v>
      </c>
      <c r="C97" t="s">
        <v>931</v>
      </c>
      <c r="D97" t="s">
        <v>30</v>
      </c>
      <c r="E97" t="s">
        <v>108</v>
      </c>
      <c r="F97">
        <v>0</v>
      </c>
      <c r="G97">
        <v>580</v>
      </c>
      <c r="H97">
        <v>0</v>
      </c>
      <c r="I97">
        <v>0</v>
      </c>
      <c r="J97">
        <v>0</v>
      </c>
      <c r="K97" t="s">
        <v>932</v>
      </c>
      <c r="L97" s="4" t="s">
        <v>932</v>
      </c>
    </row>
    <row r="98" spans="1:12" x14ac:dyDescent="0.25">
      <c r="A98" s="5">
        <v>46186</v>
      </c>
      <c r="B98" t="s">
        <v>75</v>
      </c>
      <c r="C98" t="s">
        <v>931</v>
      </c>
      <c r="D98" t="s">
        <v>30</v>
      </c>
      <c r="E98" t="s">
        <v>31</v>
      </c>
      <c r="F98">
        <v>940</v>
      </c>
      <c r="G98">
        <v>1330</v>
      </c>
      <c r="H98">
        <v>0</v>
      </c>
      <c r="I98">
        <v>37</v>
      </c>
      <c r="J98">
        <v>0</v>
      </c>
      <c r="K98">
        <v>0</v>
      </c>
      <c r="L98" s="4">
        <v>1</v>
      </c>
    </row>
    <row r="99" spans="1:12" x14ac:dyDescent="0.25">
      <c r="A99" s="5">
        <v>46186</v>
      </c>
      <c r="B99" t="s">
        <v>391</v>
      </c>
      <c r="C99" t="s">
        <v>931</v>
      </c>
      <c r="D99" t="s">
        <v>30</v>
      </c>
      <c r="E99" t="s">
        <v>42</v>
      </c>
      <c r="F99">
        <v>520</v>
      </c>
      <c r="G99">
        <v>550</v>
      </c>
      <c r="H99">
        <v>0</v>
      </c>
      <c r="I99">
        <v>7</v>
      </c>
      <c r="J99">
        <v>0</v>
      </c>
      <c r="K99">
        <v>0</v>
      </c>
      <c r="L99" s="4">
        <v>1</v>
      </c>
    </row>
    <row r="100" spans="1:12" x14ac:dyDescent="0.25">
      <c r="A100" s="5">
        <v>46186</v>
      </c>
      <c r="B100" t="s">
        <v>348</v>
      </c>
      <c r="C100" t="s">
        <v>931</v>
      </c>
      <c r="D100" t="s">
        <v>30</v>
      </c>
      <c r="E100" t="s">
        <v>31</v>
      </c>
      <c r="F100">
        <v>100</v>
      </c>
      <c r="G100">
        <v>90</v>
      </c>
      <c r="H100">
        <v>0</v>
      </c>
      <c r="I100">
        <v>4</v>
      </c>
      <c r="J100">
        <v>0</v>
      </c>
      <c r="K100">
        <v>0</v>
      </c>
      <c r="L100" s="4">
        <v>1</v>
      </c>
    </row>
    <row r="101" spans="1:12" x14ac:dyDescent="0.25">
      <c r="A101" s="5">
        <v>46186</v>
      </c>
      <c r="B101" t="s">
        <v>135</v>
      </c>
      <c r="C101" t="s">
        <v>931</v>
      </c>
      <c r="D101" t="s">
        <v>30</v>
      </c>
      <c r="E101" t="s">
        <v>31</v>
      </c>
      <c r="F101">
        <v>540</v>
      </c>
      <c r="G101">
        <v>670</v>
      </c>
      <c r="H101">
        <v>0</v>
      </c>
      <c r="I101">
        <v>23</v>
      </c>
      <c r="J101">
        <v>0</v>
      </c>
      <c r="K101">
        <v>0</v>
      </c>
      <c r="L101" s="4">
        <v>1</v>
      </c>
    </row>
    <row r="102" spans="1:12" x14ac:dyDescent="0.25">
      <c r="A102" s="5">
        <v>46186</v>
      </c>
      <c r="B102" t="s">
        <v>799</v>
      </c>
      <c r="C102" t="s">
        <v>931</v>
      </c>
      <c r="D102" t="s">
        <v>30</v>
      </c>
      <c r="E102" t="s">
        <v>31</v>
      </c>
      <c r="F102">
        <v>280</v>
      </c>
      <c r="G102">
        <v>290</v>
      </c>
      <c r="H102">
        <v>0</v>
      </c>
      <c r="I102">
        <v>14</v>
      </c>
      <c r="J102">
        <v>0</v>
      </c>
      <c r="K102">
        <v>0</v>
      </c>
      <c r="L102" s="4">
        <v>1</v>
      </c>
    </row>
    <row r="103" spans="1:12" x14ac:dyDescent="0.25">
      <c r="A103" s="5">
        <v>46186</v>
      </c>
      <c r="B103" t="s">
        <v>316</v>
      </c>
      <c r="C103" t="s">
        <v>931</v>
      </c>
      <c r="D103" t="s">
        <v>30</v>
      </c>
      <c r="E103" t="s">
        <v>37</v>
      </c>
      <c r="F103">
        <v>990</v>
      </c>
      <c r="G103">
        <v>1050</v>
      </c>
      <c r="H103">
        <v>0</v>
      </c>
      <c r="I103">
        <v>26</v>
      </c>
      <c r="J103">
        <v>0</v>
      </c>
      <c r="K103">
        <v>0</v>
      </c>
      <c r="L103" s="4">
        <v>1</v>
      </c>
    </row>
    <row r="104" spans="1:12" x14ac:dyDescent="0.25">
      <c r="A104" s="5">
        <v>46186</v>
      </c>
      <c r="B104" t="s">
        <v>760</v>
      </c>
      <c r="C104" t="s">
        <v>931</v>
      </c>
      <c r="D104" t="s">
        <v>30</v>
      </c>
      <c r="E104" t="s">
        <v>42</v>
      </c>
      <c r="F104">
        <v>560</v>
      </c>
      <c r="G104">
        <v>570</v>
      </c>
      <c r="H104">
        <v>0</v>
      </c>
      <c r="I104">
        <v>11</v>
      </c>
      <c r="J104">
        <v>0</v>
      </c>
      <c r="K104">
        <v>0</v>
      </c>
      <c r="L104" s="4">
        <v>1</v>
      </c>
    </row>
    <row r="105" spans="1:12" x14ac:dyDescent="0.25">
      <c r="A105" s="5">
        <v>46186</v>
      </c>
      <c r="B105" t="s">
        <v>565</v>
      </c>
      <c r="C105" t="s">
        <v>931</v>
      </c>
      <c r="D105" t="s">
        <v>30</v>
      </c>
      <c r="E105" t="s">
        <v>60</v>
      </c>
      <c r="F105">
        <v>810</v>
      </c>
      <c r="G105">
        <v>760</v>
      </c>
      <c r="H105">
        <v>45</v>
      </c>
      <c r="I105">
        <v>18</v>
      </c>
      <c r="J105">
        <v>1</v>
      </c>
      <c r="K105">
        <v>5.5555555555555497E-2</v>
      </c>
      <c r="L105" s="4">
        <v>0.94444444444444398</v>
      </c>
    </row>
    <row r="106" spans="1:12" x14ac:dyDescent="0.25">
      <c r="A106" s="5">
        <v>46186</v>
      </c>
      <c r="B106" t="s">
        <v>259</v>
      </c>
      <c r="C106" t="s">
        <v>931</v>
      </c>
      <c r="D106" t="s">
        <v>30</v>
      </c>
      <c r="E106" t="s">
        <v>37</v>
      </c>
      <c r="F106">
        <v>2400</v>
      </c>
      <c r="G106">
        <v>4591</v>
      </c>
      <c r="H106">
        <v>0</v>
      </c>
      <c r="I106">
        <v>60</v>
      </c>
      <c r="J106">
        <v>0</v>
      </c>
      <c r="K106">
        <v>0</v>
      </c>
      <c r="L106" s="4">
        <v>1</v>
      </c>
    </row>
    <row r="107" spans="1:12" x14ac:dyDescent="0.25">
      <c r="A107" s="5">
        <v>46186</v>
      </c>
      <c r="B107" t="s">
        <v>909</v>
      </c>
      <c r="C107" t="s">
        <v>931</v>
      </c>
      <c r="D107" t="s">
        <v>30</v>
      </c>
      <c r="E107" t="s">
        <v>31</v>
      </c>
      <c r="F107">
        <v>0</v>
      </c>
      <c r="G107">
        <v>3260</v>
      </c>
      <c r="H107">
        <v>0</v>
      </c>
      <c r="I107">
        <v>0</v>
      </c>
      <c r="J107">
        <v>0</v>
      </c>
      <c r="K107" t="s">
        <v>932</v>
      </c>
      <c r="L107" s="4" t="s">
        <v>932</v>
      </c>
    </row>
    <row r="108" spans="1:12" x14ac:dyDescent="0.25">
      <c r="A108" s="5">
        <v>46186</v>
      </c>
      <c r="B108" t="s">
        <v>871</v>
      </c>
      <c r="C108" t="s">
        <v>931</v>
      </c>
      <c r="D108" t="s">
        <v>30</v>
      </c>
      <c r="E108" t="s">
        <v>42</v>
      </c>
      <c r="F108">
        <v>0</v>
      </c>
      <c r="G108">
        <v>550</v>
      </c>
      <c r="H108">
        <v>0</v>
      </c>
      <c r="I108">
        <v>0</v>
      </c>
      <c r="J108">
        <v>0</v>
      </c>
      <c r="K108" t="s">
        <v>932</v>
      </c>
      <c r="L108" s="4" t="s">
        <v>932</v>
      </c>
    </row>
    <row r="109" spans="1:12" x14ac:dyDescent="0.25">
      <c r="A109" s="5">
        <v>46186</v>
      </c>
      <c r="B109" t="s">
        <v>875</v>
      </c>
      <c r="C109" t="s">
        <v>931</v>
      </c>
      <c r="D109" t="s">
        <v>30</v>
      </c>
      <c r="E109" t="s">
        <v>42</v>
      </c>
      <c r="F109">
        <v>0</v>
      </c>
      <c r="G109">
        <v>200</v>
      </c>
      <c r="H109">
        <v>0</v>
      </c>
      <c r="I109">
        <v>0</v>
      </c>
      <c r="J109">
        <v>0</v>
      </c>
      <c r="K109" t="s">
        <v>932</v>
      </c>
      <c r="L109" s="4" t="s">
        <v>932</v>
      </c>
    </row>
    <row r="110" spans="1:12" x14ac:dyDescent="0.25">
      <c r="A110" s="5">
        <v>46186</v>
      </c>
      <c r="B110" t="s">
        <v>491</v>
      </c>
      <c r="C110" t="s">
        <v>931</v>
      </c>
      <c r="D110" t="s">
        <v>30</v>
      </c>
      <c r="E110" t="s">
        <v>31</v>
      </c>
      <c r="F110">
        <v>480</v>
      </c>
      <c r="G110">
        <v>590</v>
      </c>
      <c r="H110">
        <v>0</v>
      </c>
      <c r="I110">
        <v>10</v>
      </c>
      <c r="J110">
        <v>0</v>
      </c>
      <c r="K110">
        <v>0</v>
      </c>
      <c r="L110" s="4">
        <v>1</v>
      </c>
    </row>
    <row r="111" spans="1:12" x14ac:dyDescent="0.25">
      <c r="A111" s="5">
        <v>46186</v>
      </c>
      <c r="B111" t="s">
        <v>729</v>
      </c>
      <c r="C111" t="s">
        <v>931</v>
      </c>
      <c r="D111" t="s">
        <v>30</v>
      </c>
      <c r="E111" t="s">
        <v>31</v>
      </c>
      <c r="F111">
        <v>930</v>
      </c>
      <c r="G111">
        <v>960</v>
      </c>
      <c r="H111">
        <v>0</v>
      </c>
      <c r="I111">
        <v>26</v>
      </c>
      <c r="J111">
        <v>0</v>
      </c>
      <c r="K111">
        <v>0</v>
      </c>
      <c r="L111" s="4">
        <v>1</v>
      </c>
    </row>
    <row r="112" spans="1:12" x14ac:dyDescent="0.25">
      <c r="A112" s="5">
        <v>46186</v>
      </c>
      <c r="B112" t="s">
        <v>596</v>
      </c>
      <c r="C112" t="s">
        <v>931</v>
      </c>
      <c r="D112" t="s">
        <v>30</v>
      </c>
      <c r="E112" t="s">
        <v>31</v>
      </c>
      <c r="F112">
        <v>140</v>
      </c>
      <c r="G112">
        <v>150</v>
      </c>
      <c r="H112">
        <v>0</v>
      </c>
      <c r="I112">
        <v>6</v>
      </c>
      <c r="J112">
        <v>0</v>
      </c>
      <c r="K112">
        <v>0</v>
      </c>
      <c r="L112" s="4">
        <v>1</v>
      </c>
    </row>
    <row r="113" spans="1:12" x14ac:dyDescent="0.25">
      <c r="A113" s="5">
        <v>46186</v>
      </c>
      <c r="B113" t="s">
        <v>632</v>
      </c>
      <c r="C113" t="s">
        <v>931</v>
      </c>
      <c r="D113" t="s">
        <v>30</v>
      </c>
      <c r="E113" t="s">
        <v>60</v>
      </c>
      <c r="F113">
        <v>180</v>
      </c>
      <c r="G113">
        <v>100</v>
      </c>
      <c r="H113">
        <v>0</v>
      </c>
      <c r="I113">
        <v>2</v>
      </c>
      <c r="J113">
        <v>0</v>
      </c>
      <c r="K113">
        <v>0</v>
      </c>
      <c r="L113" s="4">
        <v>1</v>
      </c>
    </row>
    <row r="114" spans="1:12" x14ac:dyDescent="0.25">
      <c r="A114" s="5">
        <v>46186</v>
      </c>
      <c r="B114" t="s">
        <v>900</v>
      </c>
      <c r="C114" t="s">
        <v>931</v>
      </c>
      <c r="D114" t="s">
        <v>30</v>
      </c>
      <c r="E114" t="s">
        <v>60</v>
      </c>
      <c r="F114">
        <v>0</v>
      </c>
      <c r="G114">
        <v>160</v>
      </c>
      <c r="H114">
        <v>0</v>
      </c>
      <c r="I114">
        <v>0</v>
      </c>
      <c r="J114">
        <v>0</v>
      </c>
      <c r="K114" t="s">
        <v>932</v>
      </c>
      <c r="L114" s="4" t="s">
        <v>932</v>
      </c>
    </row>
    <row r="115" spans="1:12" x14ac:dyDescent="0.25">
      <c r="A115" s="5">
        <v>46186</v>
      </c>
      <c r="B115" t="s">
        <v>844</v>
      </c>
      <c r="C115" t="s">
        <v>931</v>
      </c>
      <c r="D115" t="s">
        <v>30</v>
      </c>
      <c r="E115" t="s">
        <v>37</v>
      </c>
      <c r="F115">
        <v>540</v>
      </c>
      <c r="G115">
        <v>590</v>
      </c>
      <c r="H115">
        <v>0</v>
      </c>
      <c r="I115">
        <v>6</v>
      </c>
      <c r="J115">
        <v>0</v>
      </c>
      <c r="K115">
        <v>0</v>
      </c>
      <c r="L115" s="4">
        <v>1</v>
      </c>
    </row>
    <row r="116" spans="1:12" x14ac:dyDescent="0.25">
      <c r="A116" s="5">
        <v>46186</v>
      </c>
      <c r="B116" t="s">
        <v>529</v>
      </c>
      <c r="C116" t="s">
        <v>931</v>
      </c>
      <c r="D116" t="s">
        <v>30</v>
      </c>
      <c r="E116" t="s">
        <v>60</v>
      </c>
      <c r="F116">
        <v>900</v>
      </c>
      <c r="G116">
        <v>1620</v>
      </c>
      <c r="H116">
        <v>0</v>
      </c>
      <c r="I116">
        <v>11</v>
      </c>
      <c r="J116">
        <v>0</v>
      </c>
      <c r="K116">
        <v>0</v>
      </c>
      <c r="L116" s="4">
        <v>1</v>
      </c>
    </row>
    <row r="117" spans="1:12" x14ac:dyDescent="0.25">
      <c r="A117" s="5">
        <v>46186</v>
      </c>
      <c r="B117" t="s">
        <v>496</v>
      </c>
      <c r="C117" t="s">
        <v>931</v>
      </c>
      <c r="D117" t="s">
        <v>30</v>
      </c>
      <c r="E117" t="s">
        <v>31</v>
      </c>
      <c r="F117">
        <v>560</v>
      </c>
      <c r="G117">
        <v>520</v>
      </c>
      <c r="H117">
        <v>40</v>
      </c>
      <c r="I117">
        <v>11</v>
      </c>
      <c r="J117">
        <v>2</v>
      </c>
      <c r="K117">
        <v>0.18181818181818099</v>
      </c>
      <c r="L117" s="4">
        <v>0.81818181818181801</v>
      </c>
    </row>
    <row r="118" spans="1:12" x14ac:dyDescent="0.25">
      <c r="A118" s="5">
        <v>46186</v>
      </c>
      <c r="B118" t="s">
        <v>214</v>
      </c>
      <c r="C118" t="s">
        <v>931</v>
      </c>
      <c r="D118" t="s">
        <v>30</v>
      </c>
      <c r="E118" t="s">
        <v>108</v>
      </c>
      <c r="F118">
        <v>1210</v>
      </c>
      <c r="G118">
        <v>1430</v>
      </c>
      <c r="H118">
        <v>0</v>
      </c>
      <c r="I118">
        <v>41</v>
      </c>
      <c r="J118">
        <v>0</v>
      </c>
      <c r="K118">
        <v>0</v>
      </c>
      <c r="L118" s="4">
        <v>1</v>
      </c>
    </row>
    <row r="119" spans="1:12" x14ac:dyDescent="0.25">
      <c r="A119" s="5">
        <v>46186</v>
      </c>
      <c r="B119" t="s">
        <v>35</v>
      </c>
      <c r="C119" t="s">
        <v>931</v>
      </c>
      <c r="D119" t="s">
        <v>30</v>
      </c>
      <c r="E119" t="s">
        <v>37</v>
      </c>
      <c r="F119">
        <v>630</v>
      </c>
      <c r="G119">
        <v>560</v>
      </c>
      <c r="H119">
        <v>0</v>
      </c>
      <c r="I119">
        <v>7</v>
      </c>
      <c r="J119">
        <v>0</v>
      </c>
      <c r="K119">
        <v>0</v>
      </c>
      <c r="L119" s="4">
        <v>1</v>
      </c>
    </row>
    <row r="120" spans="1:12" x14ac:dyDescent="0.25">
      <c r="A120" s="5">
        <v>46186</v>
      </c>
      <c r="B120" t="s">
        <v>335</v>
      </c>
      <c r="C120" t="s">
        <v>931</v>
      </c>
      <c r="D120" t="s">
        <v>30</v>
      </c>
      <c r="E120" t="s">
        <v>31</v>
      </c>
      <c r="F120">
        <v>40</v>
      </c>
      <c r="G120">
        <v>50</v>
      </c>
      <c r="H120">
        <v>0</v>
      </c>
      <c r="I120">
        <v>2</v>
      </c>
      <c r="J120">
        <v>0</v>
      </c>
      <c r="K120">
        <v>0</v>
      </c>
      <c r="L120" s="4">
        <v>1</v>
      </c>
    </row>
    <row r="121" spans="1:12" x14ac:dyDescent="0.25">
      <c r="A121" s="5">
        <v>46186</v>
      </c>
      <c r="B121" t="s">
        <v>143</v>
      </c>
      <c r="C121" t="s">
        <v>931</v>
      </c>
      <c r="D121" t="s">
        <v>30</v>
      </c>
      <c r="E121" t="s">
        <v>37</v>
      </c>
      <c r="F121">
        <v>1460</v>
      </c>
      <c r="G121">
        <v>0</v>
      </c>
      <c r="H121">
        <v>0</v>
      </c>
      <c r="I121">
        <v>27</v>
      </c>
      <c r="J121">
        <v>0</v>
      </c>
      <c r="K121">
        <v>0</v>
      </c>
      <c r="L121" s="4">
        <v>1</v>
      </c>
    </row>
    <row r="122" spans="1:12" x14ac:dyDescent="0.25">
      <c r="A122" s="5">
        <v>46186</v>
      </c>
      <c r="B122" t="s">
        <v>807</v>
      </c>
      <c r="C122" t="s">
        <v>931</v>
      </c>
      <c r="D122" t="s">
        <v>30</v>
      </c>
      <c r="E122" t="s">
        <v>31</v>
      </c>
      <c r="F122">
        <v>620</v>
      </c>
      <c r="G122">
        <v>420</v>
      </c>
      <c r="H122">
        <v>200</v>
      </c>
      <c r="I122">
        <v>23</v>
      </c>
      <c r="J122">
        <v>5</v>
      </c>
      <c r="K122">
        <v>0.217391304347826</v>
      </c>
      <c r="L122" s="4">
        <v>0.78260869565217395</v>
      </c>
    </row>
    <row r="123" spans="1:12" x14ac:dyDescent="0.25">
      <c r="A123" s="5">
        <v>46186</v>
      </c>
      <c r="B123" t="s">
        <v>770</v>
      </c>
      <c r="C123" t="s">
        <v>931</v>
      </c>
      <c r="D123" t="s">
        <v>30</v>
      </c>
      <c r="E123" t="s">
        <v>31</v>
      </c>
      <c r="F123">
        <v>320</v>
      </c>
      <c r="G123">
        <v>450</v>
      </c>
      <c r="H123">
        <v>0</v>
      </c>
      <c r="I123">
        <v>9</v>
      </c>
      <c r="J123">
        <v>0</v>
      </c>
      <c r="K123">
        <v>0</v>
      </c>
      <c r="L123" s="4">
        <v>1</v>
      </c>
    </row>
    <row r="124" spans="1:12" x14ac:dyDescent="0.25">
      <c r="A124" s="5">
        <v>46186</v>
      </c>
      <c r="B124" t="s">
        <v>577</v>
      </c>
      <c r="C124" t="s">
        <v>931</v>
      </c>
      <c r="D124" t="s">
        <v>30</v>
      </c>
      <c r="E124" t="s">
        <v>42</v>
      </c>
      <c r="F124">
        <v>460</v>
      </c>
      <c r="G124">
        <v>350</v>
      </c>
      <c r="H124">
        <v>100</v>
      </c>
      <c r="I124">
        <v>11</v>
      </c>
      <c r="J124">
        <v>2</v>
      </c>
      <c r="K124">
        <v>0.18181818181818099</v>
      </c>
      <c r="L124" s="4">
        <v>0.81818181818181801</v>
      </c>
    </row>
    <row r="125" spans="1:12" x14ac:dyDescent="0.25">
      <c r="A125" s="5">
        <v>46186</v>
      </c>
      <c r="B125" t="s">
        <v>763</v>
      </c>
      <c r="C125" t="s">
        <v>931</v>
      </c>
      <c r="D125" t="s">
        <v>30</v>
      </c>
      <c r="E125" t="s">
        <v>31</v>
      </c>
      <c r="F125">
        <v>260</v>
      </c>
      <c r="G125">
        <v>310</v>
      </c>
      <c r="H125">
        <v>0</v>
      </c>
      <c r="I125">
        <v>11</v>
      </c>
      <c r="J125">
        <v>0</v>
      </c>
      <c r="K125">
        <v>0</v>
      </c>
      <c r="L125" s="4">
        <v>1</v>
      </c>
    </row>
    <row r="126" spans="1:12" x14ac:dyDescent="0.25">
      <c r="A126" s="5">
        <v>46186</v>
      </c>
      <c r="B126" t="s">
        <v>686</v>
      </c>
      <c r="C126" t="s">
        <v>931</v>
      </c>
      <c r="D126" t="s">
        <v>30</v>
      </c>
      <c r="E126" t="s">
        <v>60</v>
      </c>
      <c r="F126">
        <v>260</v>
      </c>
      <c r="G126">
        <v>300</v>
      </c>
      <c r="H126">
        <v>0</v>
      </c>
      <c r="I126">
        <v>4</v>
      </c>
      <c r="J126">
        <v>0</v>
      </c>
      <c r="K126">
        <v>0</v>
      </c>
      <c r="L126" s="4">
        <v>1</v>
      </c>
    </row>
    <row r="127" spans="1:12" x14ac:dyDescent="0.25">
      <c r="A127" s="5">
        <v>46186</v>
      </c>
      <c r="B127" t="s">
        <v>493</v>
      </c>
      <c r="C127" t="s">
        <v>931</v>
      </c>
      <c r="D127" t="s">
        <v>30</v>
      </c>
      <c r="E127" t="s">
        <v>42</v>
      </c>
      <c r="F127">
        <v>440</v>
      </c>
      <c r="G127">
        <v>530</v>
      </c>
      <c r="H127">
        <v>0</v>
      </c>
      <c r="I127">
        <v>10</v>
      </c>
      <c r="J127">
        <v>0</v>
      </c>
      <c r="K127">
        <v>0</v>
      </c>
      <c r="L127" s="4">
        <v>1</v>
      </c>
    </row>
    <row r="128" spans="1:12" x14ac:dyDescent="0.25">
      <c r="A128" s="5">
        <v>46186</v>
      </c>
      <c r="B128" t="s">
        <v>879</v>
      </c>
      <c r="C128" t="s">
        <v>931</v>
      </c>
      <c r="D128" t="s">
        <v>30</v>
      </c>
      <c r="E128" t="s">
        <v>31</v>
      </c>
      <c r="F128">
        <v>0</v>
      </c>
      <c r="G128">
        <v>780</v>
      </c>
      <c r="H128">
        <v>0</v>
      </c>
      <c r="I128">
        <v>0</v>
      </c>
      <c r="J128">
        <v>0</v>
      </c>
      <c r="K128" t="s">
        <v>932</v>
      </c>
      <c r="L128" s="4" t="s">
        <v>932</v>
      </c>
    </row>
    <row r="129" spans="1:12" x14ac:dyDescent="0.25">
      <c r="A129" s="5">
        <v>46186</v>
      </c>
      <c r="B129" t="s">
        <v>248</v>
      </c>
      <c r="C129" t="s">
        <v>931</v>
      </c>
      <c r="D129" t="s">
        <v>30</v>
      </c>
      <c r="E129" t="s">
        <v>31</v>
      </c>
      <c r="F129">
        <v>470</v>
      </c>
      <c r="G129">
        <v>510</v>
      </c>
      <c r="H129">
        <v>0</v>
      </c>
      <c r="I129">
        <v>11</v>
      </c>
      <c r="J129">
        <v>0</v>
      </c>
      <c r="K129">
        <v>0</v>
      </c>
      <c r="L129" s="4">
        <v>1</v>
      </c>
    </row>
    <row r="130" spans="1:12" x14ac:dyDescent="0.25">
      <c r="A130" s="5">
        <v>46186</v>
      </c>
      <c r="B130" t="s">
        <v>526</v>
      </c>
      <c r="C130" t="s">
        <v>931</v>
      </c>
      <c r="D130" t="s">
        <v>30</v>
      </c>
      <c r="E130" t="s">
        <v>60</v>
      </c>
      <c r="F130">
        <v>850</v>
      </c>
      <c r="G130">
        <v>990</v>
      </c>
      <c r="H130">
        <v>0</v>
      </c>
      <c r="I130">
        <v>31</v>
      </c>
      <c r="J130">
        <v>0</v>
      </c>
      <c r="K130">
        <v>0</v>
      </c>
      <c r="L130" s="4">
        <v>1</v>
      </c>
    </row>
    <row r="131" spans="1:12" x14ac:dyDescent="0.25">
      <c r="A131" s="5">
        <v>46186</v>
      </c>
      <c r="B131" t="s">
        <v>832</v>
      </c>
      <c r="C131" t="s">
        <v>931</v>
      </c>
      <c r="D131" t="s">
        <v>30</v>
      </c>
      <c r="E131" t="s">
        <v>108</v>
      </c>
      <c r="F131">
        <v>0</v>
      </c>
      <c r="G131">
        <v>970</v>
      </c>
      <c r="H131">
        <v>0</v>
      </c>
      <c r="I131">
        <v>0</v>
      </c>
      <c r="J131">
        <v>0</v>
      </c>
      <c r="K131" t="s">
        <v>932</v>
      </c>
      <c r="L131" s="4" t="s">
        <v>932</v>
      </c>
    </row>
    <row r="132" spans="1:12" x14ac:dyDescent="0.25">
      <c r="A132" s="5">
        <v>46186</v>
      </c>
      <c r="B132" t="s">
        <v>463</v>
      </c>
      <c r="C132" t="s">
        <v>931</v>
      </c>
      <c r="D132" t="s">
        <v>30</v>
      </c>
      <c r="E132" t="s">
        <v>60</v>
      </c>
      <c r="F132">
        <v>505</v>
      </c>
      <c r="G132">
        <v>550</v>
      </c>
      <c r="H132">
        <v>0</v>
      </c>
      <c r="I132">
        <v>14</v>
      </c>
      <c r="J132">
        <v>0</v>
      </c>
      <c r="K132">
        <v>0</v>
      </c>
      <c r="L132" s="4">
        <v>1</v>
      </c>
    </row>
    <row r="133" spans="1:12" x14ac:dyDescent="0.25">
      <c r="A133" s="5">
        <v>46186</v>
      </c>
      <c r="B133" t="s">
        <v>626</v>
      </c>
      <c r="C133" t="s">
        <v>931</v>
      </c>
      <c r="D133" t="s">
        <v>30</v>
      </c>
      <c r="E133" t="s">
        <v>108</v>
      </c>
      <c r="F133">
        <v>450</v>
      </c>
      <c r="G133">
        <v>520</v>
      </c>
      <c r="H133">
        <v>0</v>
      </c>
      <c r="I133">
        <v>10</v>
      </c>
      <c r="J133">
        <v>0</v>
      </c>
      <c r="K133">
        <v>0</v>
      </c>
      <c r="L133" s="4">
        <v>1</v>
      </c>
    </row>
    <row r="134" spans="1:12" x14ac:dyDescent="0.25">
      <c r="A134" s="5">
        <v>46186</v>
      </c>
      <c r="B134" t="s">
        <v>862</v>
      </c>
      <c r="C134" t="s">
        <v>931</v>
      </c>
      <c r="D134" t="s">
        <v>30</v>
      </c>
      <c r="E134" t="s">
        <v>42</v>
      </c>
      <c r="F134">
        <v>0</v>
      </c>
      <c r="G134">
        <v>40</v>
      </c>
      <c r="H134">
        <v>0</v>
      </c>
      <c r="I134">
        <v>0</v>
      </c>
      <c r="J134">
        <v>0</v>
      </c>
      <c r="K134" t="s">
        <v>932</v>
      </c>
      <c r="L134" s="4" t="s">
        <v>932</v>
      </c>
    </row>
    <row r="135" spans="1:12" x14ac:dyDescent="0.25">
      <c r="A135" s="5">
        <v>46186</v>
      </c>
      <c r="B135" t="s">
        <v>264</v>
      </c>
      <c r="C135" t="s">
        <v>931</v>
      </c>
      <c r="D135" t="s">
        <v>30</v>
      </c>
      <c r="E135" t="s">
        <v>31</v>
      </c>
      <c r="F135">
        <v>410</v>
      </c>
      <c r="G135">
        <v>420</v>
      </c>
      <c r="H135">
        <v>0</v>
      </c>
      <c r="I135">
        <v>12</v>
      </c>
      <c r="J135">
        <v>0</v>
      </c>
      <c r="K135">
        <v>0</v>
      </c>
      <c r="L135" s="4">
        <v>1</v>
      </c>
    </row>
    <row r="136" spans="1:12" x14ac:dyDescent="0.25">
      <c r="A136" s="5">
        <v>46186</v>
      </c>
      <c r="B136" t="s">
        <v>394</v>
      </c>
      <c r="C136" t="s">
        <v>931</v>
      </c>
      <c r="D136" t="s">
        <v>30</v>
      </c>
      <c r="E136" t="s">
        <v>31</v>
      </c>
      <c r="F136">
        <v>960</v>
      </c>
      <c r="G136">
        <v>1050</v>
      </c>
      <c r="H136">
        <v>0</v>
      </c>
      <c r="I136">
        <v>30</v>
      </c>
      <c r="J136">
        <v>0</v>
      </c>
      <c r="K136">
        <v>0</v>
      </c>
      <c r="L136" s="4">
        <v>1</v>
      </c>
    </row>
    <row r="137" spans="1:12" x14ac:dyDescent="0.25">
      <c r="A137" s="5">
        <v>46186</v>
      </c>
      <c r="B137" t="s">
        <v>889</v>
      </c>
      <c r="C137" t="s">
        <v>931</v>
      </c>
      <c r="D137" t="s">
        <v>30</v>
      </c>
      <c r="E137" t="s">
        <v>42</v>
      </c>
      <c r="F137">
        <v>0</v>
      </c>
      <c r="G137">
        <v>890</v>
      </c>
      <c r="H137">
        <v>0</v>
      </c>
      <c r="I137">
        <v>0</v>
      </c>
      <c r="J137">
        <v>0</v>
      </c>
      <c r="K137" t="s">
        <v>932</v>
      </c>
      <c r="L137" s="4" t="s">
        <v>932</v>
      </c>
    </row>
    <row r="138" spans="1:12" x14ac:dyDescent="0.25">
      <c r="A138" s="5">
        <v>46186</v>
      </c>
      <c r="B138" t="s">
        <v>40</v>
      </c>
      <c r="C138" t="s">
        <v>931</v>
      </c>
      <c r="D138" t="s">
        <v>30</v>
      </c>
      <c r="E138" t="s">
        <v>42</v>
      </c>
      <c r="F138">
        <v>0</v>
      </c>
      <c r="G138">
        <v>390</v>
      </c>
      <c r="H138">
        <v>0</v>
      </c>
      <c r="I138">
        <v>0</v>
      </c>
      <c r="J138">
        <v>0</v>
      </c>
      <c r="K138" t="s">
        <v>932</v>
      </c>
      <c r="L138" s="4" t="s">
        <v>932</v>
      </c>
    </row>
    <row r="139" spans="1:12" x14ac:dyDescent="0.25">
      <c r="A139" s="5">
        <v>46186</v>
      </c>
      <c r="B139" t="s">
        <v>750</v>
      </c>
      <c r="C139" t="s">
        <v>931</v>
      </c>
      <c r="D139" t="s">
        <v>30</v>
      </c>
      <c r="E139" t="s">
        <v>60</v>
      </c>
      <c r="F139">
        <v>1430</v>
      </c>
      <c r="G139">
        <v>1940</v>
      </c>
      <c r="H139">
        <v>0</v>
      </c>
      <c r="I139">
        <v>16</v>
      </c>
      <c r="J139">
        <v>0</v>
      </c>
      <c r="K139">
        <v>0</v>
      </c>
      <c r="L139" s="4">
        <v>1</v>
      </c>
    </row>
    <row r="140" spans="1:12" x14ac:dyDescent="0.25">
      <c r="A140" s="5">
        <v>46186</v>
      </c>
      <c r="B140" t="s">
        <v>743</v>
      </c>
      <c r="C140" t="s">
        <v>931</v>
      </c>
      <c r="D140" t="s">
        <v>30</v>
      </c>
      <c r="E140" t="s">
        <v>31</v>
      </c>
      <c r="F140">
        <v>480</v>
      </c>
      <c r="G140">
        <v>430</v>
      </c>
      <c r="H140">
        <v>40</v>
      </c>
      <c r="I140">
        <v>15</v>
      </c>
      <c r="J140">
        <v>1</v>
      </c>
      <c r="K140">
        <v>6.6666666666666596E-2</v>
      </c>
      <c r="L140" s="4">
        <v>0.93333333333333302</v>
      </c>
    </row>
    <row r="141" spans="1:12" x14ac:dyDescent="0.25">
      <c r="A141" s="5">
        <v>46186</v>
      </c>
      <c r="B141" t="s">
        <v>796</v>
      </c>
      <c r="C141" t="s">
        <v>931</v>
      </c>
      <c r="D141" t="s">
        <v>30</v>
      </c>
      <c r="E141" t="s">
        <v>108</v>
      </c>
      <c r="F141">
        <v>200</v>
      </c>
      <c r="G141">
        <v>40</v>
      </c>
      <c r="H141">
        <v>160</v>
      </c>
      <c r="I141">
        <v>5</v>
      </c>
      <c r="J141">
        <v>4</v>
      </c>
      <c r="K141">
        <v>0.8</v>
      </c>
      <c r="L141" s="4">
        <v>0.2</v>
      </c>
    </row>
    <row r="142" spans="1:12" x14ac:dyDescent="0.25">
      <c r="A142" s="5">
        <v>46186</v>
      </c>
      <c r="B142" t="s">
        <v>773</v>
      </c>
      <c r="C142" t="s">
        <v>931</v>
      </c>
      <c r="D142" t="s">
        <v>30</v>
      </c>
      <c r="E142" t="s">
        <v>60</v>
      </c>
      <c r="F142">
        <v>520</v>
      </c>
      <c r="G142">
        <v>520</v>
      </c>
      <c r="H142">
        <v>0</v>
      </c>
      <c r="I142">
        <v>6</v>
      </c>
      <c r="J142">
        <v>0</v>
      </c>
      <c r="K142">
        <v>0</v>
      </c>
      <c r="L142" s="4">
        <v>1</v>
      </c>
    </row>
    <row r="143" spans="1:12" x14ac:dyDescent="0.25">
      <c r="A143" s="5">
        <v>46186</v>
      </c>
      <c r="B143" t="s">
        <v>639</v>
      </c>
      <c r="C143" t="s">
        <v>931</v>
      </c>
      <c r="D143" t="s">
        <v>30</v>
      </c>
      <c r="E143" t="s">
        <v>31</v>
      </c>
      <c r="F143">
        <v>1030</v>
      </c>
      <c r="G143">
        <v>1040</v>
      </c>
      <c r="H143">
        <v>0</v>
      </c>
      <c r="I143">
        <v>22</v>
      </c>
      <c r="J143">
        <v>0</v>
      </c>
      <c r="K143">
        <v>0</v>
      </c>
      <c r="L143" s="4">
        <v>1</v>
      </c>
    </row>
    <row r="144" spans="1:12" x14ac:dyDescent="0.25">
      <c r="A144" s="5">
        <v>46186</v>
      </c>
      <c r="B144" t="s">
        <v>385</v>
      </c>
      <c r="C144" t="s">
        <v>931</v>
      </c>
      <c r="D144" t="s">
        <v>30</v>
      </c>
      <c r="E144" t="s">
        <v>60</v>
      </c>
      <c r="F144">
        <v>330</v>
      </c>
      <c r="G144">
        <v>430</v>
      </c>
      <c r="H144">
        <v>0</v>
      </c>
      <c r="I144">
        <v>5</v>
      </c>
      <c r="J144">
        <v>0</v>
      </c>
      <c r="K144">
        <v>0</v>
      </c>
      <c r="L144" s="4">
        <v>1</v>
      </c>
    </row>
    <row r="145" spans="1:12" x14ac:dyDescent="0.25">
      <c r="A145" s="5">
        <v>46186</v>
      </c>
      <c r="B145" t="s">
        <v>186</v>
      </c>
      <c r="C145" t="s">
        <v>931</v>
      </c>
      <c r="D145" t="s">
        <v>30</v>
      </c>
      <c r="E145" t="s">
        <v>31</v>
      </c>
      <c r="F145">
        <v>40</v>
      </c>
      <c r="G145">
        <v>40</v>
      </c>
      <c r="H145">
        <v>0</v>
      </c>
      <c r="I145">
        <v>1</v>
      </c>
      <c r="J145">
        <v>0</v>
      </c>
      <c r="K145">
        <v>0</v>
      </c>
      <c r="L145" s="4">
        <v>1</v>
      </c>
    </row>
    <row r="146" spans="1:12" x14ac:dyDescent="0.25">
      <c r="A146" s="5">
        <v>46186</v>
      </c>
      <c r="B146" t="s">
        <v>916</v>
      </c>
      <c r="C146" t="s">
        <v>931</v>
      </c>
      <c r="D146" t="s">
        <v>30</v>
      </c>
      <c r="E146" t="s">
        <v>42</v>
      </c>
      <c r="F146">
        <v>0</v>
      </c>
      <c r="G146">
        <v>110</v>
      </c>
      <c r="H146">
        <v>0</v>
      </c>
      <c r="I146">
        <v>0</v>
      </c>
      <c r="J146">
        <v>0</v>
      </c>
      <c r="K146" t="s">
        <v>932</v>
      </c>
      <c r="L146" s="4" t="s">
        <v>932</v>
      </c>
    </row>
    <row r="147" spans="1:12" x14ac:dyDescent="0.25">
      <c r="A147" s="5">
        <v>46186</v>
      </c>
      <c r="B147" t="s">
        <v>680</v>
      </c>
      <c r="C147" t="s">
        <v>931</v>
      </c>
      <c r="D147" t="s">
        <v>30</v>
      </c>
      <c r="E147" t="s">
        <v>108</v>
      </c>
      <c r="F147">
        <v>1320</v>
      </c>
      <c r="G147">
        <v>1370</v>
      </c>
      <c r="H147">
        <v>0</v>
      </c>
      <c r="I147">
        <v>42</v>
      </c>
      <c r="J147">
        <v>0</v>
      </c>
      <c r="K147">
        <v>0</v>
      </c>
      <c r="L147" s="4">
        <v>1</v>
      </c>
    </row>
    <row r="148" spans="1:12" x14ac:dyDescent="0.25">
      <c r="A148" s="5">
        <v>46186</v>
      </c>
      <c r="B148" t="s">
        <v>381</v>
      </c>
      <c r="C148" t="s">
        <v>931</v>
      </c>
      <c r="D148" t="s">
        <v>30</v>
      </c>
      <c r="E148" t="s">
        <v>42</v>
      </c>
      <c r="F148">
        <v>1120</v>
      </c>
      <c r="G148">
        <v>1380</v>
      </c>
      <c r="H148">
        <v>0</v>
      </c>
      <c r="I148">
        <v>27</v>
      </c>
      <c r="J148">
        <v>0</v>
      </c>
      <c r="K148">
        <v>0</v>
      </c>
      <c r="L148" s="4">
        <v>1</v>
      </c>
    </row>
    <row r="149" spans="1:12" x14ac:dyDescent="0.25">
      <c r="A149" s="5">
        <v>46186</v>
      </c>
      <c r="B149" t="s">
        <v>502</v>
      </c>
      <c r="C149" t="s">
        <v>931</v>
      </c>
      <c r="D149" t="s">
        <v>30</v>
      </c>
      <c r="E149" t="s">
        <v>31</v>
      </c>
      <c r="F149">
        <v>420</v>
      </c>
      <c r="G149">
        <v>560</v>
      </c>
      <c r="H149">
        <v>0</v>
      </c>
      <c r="I149">
        <v>18</v>
      </c>
      <c r="J149">
        <v>0</v>
      </c>
      <c r="K149">
        <v>0</v>
      </c>
      <c r="L149" s="4">
        <v>1</v>
      </c>
    </row>
    <row r="150" spans="1:12" x14ac:dyDescent="0.25">
      <c r="A150" s="5">
        <v>46186</v>
      </c>
      <c r="B150" t="s">
        <v>655</v>
      </c>
      <c r="C150" t="s">
        <v>931</v>
      </c>
      <c r="D150" t="s">
        <v>30</v>
      </c>
      <c r="E150" t="s">
        <v>42</v>
      </c>
      <c r="F150">
        <v>960</v>
      </c>
      <c r="G150">
        <v>520</v>
      </c>
      <c r="H150">
        <v>440</v>
      </c>
      <c r="I150">
        <v>22</v>
      </c>
      <c r="J150">
        <v>9</v>
      </c>
      <c r="K150">
        <v>0.40909090909090901</v>
      </c>
      <c r="L150" s="4">
        <v>0.59090909090909005</v>
      </c>
    </row>
    <row r="151" spans="1:12" x14ac:dyDescent="0.25">
      <c r="A151" s="5">
        <v>46186</v>
      </c>
      <c r="B151" t="s">
        <v>319</v>
      </c>
      <c r="C151" t="s">
        <v>931</v>
      </c>
      <c r="D151" t="s">
        <v>30</v>
      </c>
      <c r="E151" t="s">
        <v>31</v>
      </c>
      <c r="F151">
        <v>340</v>
      </c>
      <c r="G151">
        <v>420</v>
      </c>
      <c r="H151">
        <v>0</v>
      </c>
      <c r="I151">
        <v>17</v>
      </c>
      <c r="J151">
        <v>0</v>
      </c>
      <c r="K151">
        <v>0</v>
      </c>
      <c r="L151" s="4">
        <v>1</v>
      </c>
    </row>
    <row r="152" spans="1:12" x14ac:dyDescent="0.25">
      <c r="A152" s="5">
        <v>46186</v>
      </c>
      <c r="B152" t="s">
        <v>556</v>
      </c>
      <c r="C152" t="s">
        <v>931</v>
      </c>
      <c r="D152" t="s">
        <v>30</v>
      </c>
      <c r="E152" t="s">
        <v>42</v>
      </c>
      <c r="F152">
        <v>240</v>
      </c>
      <c r="G152">
        <v>190</v>
      </c>
      <c r="H152">
        <v>40</v>
      </c>
      <c r="I152">
        <v>6</v>
      </c>
      <c r="J152">
        <v>1</v>
      </c>
      <c r="K152">
        <v>0.16666666666666599</v>
      </c>
      <c r="L152" s="4">
        <v>0.83333333333333304</v>
      </c>
    </row>
    <row r="153" spans="1:12" x14ac:dyDescent="0.25">
      <c r="A153" s="5">
        <v>46186</v>
      </c>
      <c r="B153" t="s">
        <v>882</v>
      </c>
      <c r="C153" t="s">
        <v>931</v>
      </c>
      <c r="D153" t="s">
        <v>30</v>
      </c>
      <c r="E153" t="s">
        <v>37</v>
      </c>
      <c r="F153">
        <v>0</v>
      </c>
      <c r="G153">
        <v>290</v>
      </c>
      <c r="H153">
        <v>0</v>
      </c>
      <c r="I153">
        <v>0</v>
      </c>
      <c r="J153">
        <v>0</v>
      </c>
      <c r="K153" t="s">
        <v>932</v>
      </c>
      <c r="L153" s="4" t="s">
        <v>932</v>
      </c>
    </row>
    <row r="154" spans="1:12" x14ac:dyDescent="0.25">
      <c r="A154" s="5">
        <v>46186</v>
      </c>
      <c r="B154" t="s">
        <v>403</v>
      </c>
      <c r="C154" t="s">
        <v>931</v>
      </c>
      <c r="D154" t="s">
        <v>30</v>
      </c>
      <c r="E154" t="s">
        <v>42</v>
      </c>
      <c r="F154">
        <v>480</v>
      </c>
      <c r="G154">
        <v>440</v>
      </c>
      <c r="H154">
        <v>40</v>
      </c>
      <c r="I154">
        <v>10</v>
      </c>
      <c r="J154">
        <v>1</v>
      </c>
      <c r="K154">
        <v>0.1</v>
      </c>
      <c r="L154" s="4">
        <v>0.9</v>
      </c>
    </row>
    <row r="155" spans="1:12" x14ac:dyDescent="0.25">
      <c r="A155" s="5">
        <v>46186</v>
      </c>
      <c r="B155" t="s">
        <v>603</v>
      </c>
      <c r="C155" t="s">
        <v>931</v>
      </c>
      <c r="D155" t="s">
        <v>30</v>
      </c>
      <c r="E155" t="s">
        <v>42</v>
      </c>
      <c r="F155">
        <v>440</v>
      </c>
      <c r="G155">
        <v>450</v>
      </c>
      <c r="H155">
        <v>0</v>
      </c>
      <c r="I155">
        <v>8</v>
      </c>
      <c r="J155">
        <v>0</v>
      </c>
      <c r="K155">
        <v>0</v>
      </c>
      <c r="L155" s="4">
        <v>1</v>
      </c>
    </row>
    <row r="156" spans="1:12" x14ac:dyDescent="0.25">
      <c r="A156" s="5">
        <v>46186</v>
      </c>
      <c r="B156" t="s">
        <v>518</v>
      </c>
      <c r="C156" t="s">
        <v>931</v>
      </c>
      <c r="D156" t="s">
        <v>30</v>
      </c>
      <c r="E156" t="s">
        <v>37</v>
      </c>
      <c r="F156">
        <v>1190</v>
      </c>
      <c r="G156">
        <v>1640</v>
      </c>
      <c r="H156">
        <v>0</v>
      </c>
      <c r="I156">
        <v>26</v>
      </c>
      <c r="J156">
        <v>0</v>
      </c>
      <c r="K156">
        <v>0</v>
      </c>
      <c r="L156" s="4">
        <v>1</v>
      </c>
    </row>
    <row r="157" spans="1:12" x14ac:dyDescent="0.25">
      <c r="A157" s="5">
        <v>46186</v>
      </c>
      <c r="B157" t="s">
        <v>154</v>
      </c>
      <c r="C157" t="s">
        <v>931</v>
      </c>
      <c r="D157" t="s">
        <v>30</v>
      </c>
      <c r="E157" t="s">
        <v>31</v>
      </c>
      <c r="F157">
        <v>140</v>
      </c>
      <c r="G157">
        <v>150</v>
      </c>
      <c r="H157">
        <v>0</v>
      </c>
      <c r="I157">
        <v>4</v>
      </c>
      <c r="J157">
        <v>0</v>
      </c>
      <c r="K157">
        <v>0</v>
      </c>
      <c r="L157" s="4">
        <v>1</v>
      </c>
    </row>
    <row r="158" spans="1:12" x14ac:dyDescent="0.25">
      <c r="A158" s="5">
        <v>46186</v>
      </c>
      <c r="B158" t="s">
        <v>849</v>
      </c>
      <c r="C158" t="s">
        <v>931</v>
      </c>
      <c r="D158" t="s">
        <v>30</v>
      </c>
      <c r="E158" t="s">
        <v>108</v>
      </c>
      <c r="F158">
        <v>0</v>
      </c>
      <c r="G158">
        <v>0</v>
      </c>
      <c r="H158">
        <v>0</v>
      </c>
      <c r="I158">
        <v>0</v>
      </c>
      <c r="J158">
        <v>0</v>
      </c>
      <c r="K158" t="s">
        <v>932</v>
      </c>
      <c r="L158" s="4" t="s">
        <v>932</v>
      </c>
    </row>
    <row r="159" spans="1:12" x14ac:dyDescent="0.25">
      <c r="A159" s="5">
        <v>46186</v>
      </c>
      <c r="B159" t="s">
        <v>245</v>
      </c>
      <c r="C159" t="s">
        <v>931</v>
      </c>
      <c r="D159" t="s">
        <v>30</v>
      </c>
      <c r="E159" t="s">
        <v>31</v>
      </c>
      <c r="F159">
        <v>180</v>
      </c>
      <c r="G159">
        <v>150</v>
      </c>
      <c r="H159">
        <v>20</v>
      </c>
      <c r="I159">
        <v>6</v>
      </c>
      <c r="J159">
        <v>1</v>
      </c>
      <c r="K159">
        <v>0.16666666666666599</v>
      </c>
      <c r="L159" s="4">
        <v>0.83333333333333304</v>
      </c>
    </row>
    <row r="160" spans="1:12" x14ac:dyDescent="0.25">
      <c r="A160" s="5">
        <v>46186</v>
      </c>
      <c r="B160" t="s">
        <v>549</v>
      </c>
      <c r="C160" t="s">
        <v>931</v>
      </c>
      <c r="D160" t="s">
        <v>30</v>
      </c>
      <c r="E160" t="s">
        <v>42</v>
      </c>
      <c r="F160">
        <v>120</v>
      </c>
      <c r="G160">
        <v>200</v>
      </c>
      <c r="H160">
        <v>0</v>
      </c>
      <c r="I160">
        <v>6</v>
      </c>
      <c r="J160">
        <v>0</v>
      </c>
      <c r="K160">
        <v>0</v>
      </c>
      <c r="L160" s="4">
        <v>1</v>
      </c>
    </row>
    <row r="161" spans="1:12" x14ac:dyDescent="0.25">
      <c r="A161" s="5">
        <v>46186</v>
      </c>
      <c r="B161" t="s">
        <v>803</v>
      </c>
      <c r="C161" t="s">
        <v>931</v>
      </c>
      <c r="D161" t="s">
        <v>30</v>
      </c>
      <c r="E161" t="s">
        <v>108</v>
      </c>
      <c r="F161">
        <v>820</v>
      </c>
      <c r="G161">
        <v>900</v>
      </c>
      <c r="H161">
        <v>0</v>
      </c>
      <c r="I161">
        <v>37</v>
      </c>
      <c r="J161">
        <v>0</v>
      </c>
      <c r="K161">
        <v>0</v>
      </c>
      <c r="L161" s="4">
        <v>1</v>
      </c>
    </row>
    <row r="162" spans="1:12" x14ac:dyDescent="0.25">
      <c r="A162" s="5">
        <v>46186</v>
      </c>
      <c r="B162" t="s">
        <v>823</v>
      </c>
      <c r="C162" t="s">
        <v>931</v>
      </c>
      <c r="D162" t="s">
        <v>30</v>
      </c>
      <c r="E162" t="s">
        <v>37</v>
      </c>
      <c r="F162">
        <v>360</v>
      </c>
      <c r="G162">
        <v>200</v>
      </c>
      <c r="H162">
        <v>90</v>
      </c>
      <c r="I162">
        <v>4</v>
      </c>
      <c r="J162">
        <v>1</v>
      </c>
      <c r="K162">
        <v>0.25</v>
      </c>
      <c r="L162" s="4">
        <v>0.75</v>
      </c>
    </row>
    <row r="163" spans="1:12" x14ac:dyDescent="0.25">
      <c r="A163" s="5">
        <v>46186</v>
      </c>
      <c r="B163" t="s">
        <v>220</v>
      </c>
      <c r="C163" t="s">
        <v>931</v>
      </c>
      <c r="D163" t="s">
        <v>30</v>
      </c>
      <c r="E163" t="s">
        <v>42</v>
      </c>
      <c r="F163">
        <v>330</v>
      </c>
      <c r="G163">
        <v>290</v>
      </c>
      <c r="H163">
        <v>40</v>
      </c>
      <c r="I163">
        <v>5</v>
      </c>
      <c r="J163">
        <v>1</v>
      </c>
      <c r="K163">
        <v>0.2</v>
      </c>
      <c r="L163" s="4">
        <v>0.8</v>
      </c>
    </row>
    <row r="164" spans="1:12" x14ac:dyDescent="0.25">
      <c r="A164" s="5">
        <v>46186</v>
      </c>
      <c r="B164" t="s">
        <v>139</v>
      </c>
      <c r="C164" t="s">
        <v>931</v>
      </c>
      <c r="D164" t="s">
        <v>30</v>
      </c>
      <c r="E164" t="s">
        <v>60</v>
      </c>
      <c r="F164">
        <v>1000</v>
      </c>
      <c r="G164">
        <v>730</v>
      </c>
      <c r="H164">
        <v>260</v>
      </c>
      <c r="I164">
        <v>30</v>
      </c>
      <c r="J164">
        <v>5</v>
      </c>
      <c r="K164">
        <v>0.16666666666666599</v>
      </c>
      <c r="L164" s="4">
        <v>0.83333333333333304</v>
      </c>
    </row>
    <row r="165" spans="1:12" x14ac:dyDescent="0.25">
      <c r="A165" s="5">
        <v>46186</v>
      </c>
      <c r="B165" t="s">
        <v>192</v>
      </c>
      <c r="C165" t="s">
        <v>931</v>
      </c>
      <c r="D165" t="s">
        <v>30</v>
      </c>
      <c r="E165" t="s">
        <v>31</v>
      </c>
      <c r="F165">
        <v>170</v>
      </c>
      <c r="G165">
        <v>180</v>
      </c>
      <c r="H165">
        <v>0</v>
      </c>
      <c r="I165">
        <v>4</v>
      </c>
      <c r="J165">
        <v>0</v>
      </c>
      <c r="K165">
        <v>0</v>
      </c>
      <c r="L165" s="4">
        <v>1</v>
      </c>
    </row>
    <row r="166" spans="1:12" x14ac:dyDescent="0.25">
      <c r="A166" s="5">
        <v>46186</v>
      </c>
      <c r="B166" t="s">
        <v>58</v>
      </c>
      <c r="C166" t="s">
        <v>931</v>
      </c>
      <c r="D166" t="s">
        <v>30</v>
      </c>
      <c r="E166" t="s">
        <v>60</v>
      </c>
      <c r="F166">
        <v>0</v>
      </c>
      <c r="G166">
        <v>310</v>
      </c>
      <c r="H166">
        <v>0</v>
      </c>
      <c r="I166">
        <v>0</v>
      </c>
      <c r="J166">
        <v>0</v>
      </c>
      <c r="K166" t="s">
        <v>932</v>
      </c>
      <c r="L166" s="4" t="s">
        <v>932</v>
      </c>
    </row>
    <row r="167" spans="1:12" x14ac:dyDescent="0.25">
      <c r="A167" s="5">
        <v>46186</v>
      </c>
      <c r="B167" t="s">
        <v>360</v>
      </c>
      <c r="C167" t="s">
        <v>931</v>
      </c>
      <c r="D167" t="s">
        <v>30</v>
      </c>
      <c r="E167" t="s">
        <v>60</v>
      </c>
      <c r="F167">
        <v>540</v>
      </c>
      <c r="G167">
        <v>550</v>
      </c>
      <c r="H167">
        <v>0</v>
      </c>
      <c r="I167">
        <v>12</v>
      </c>
      <c r="J167">
        <v>0</v>
      </c>
      <c r="K167">
        <v>0</v>
      </c>
      <c r="L167" s="4">
        <v>1</v>
      </c>
    </row>
    <row r="168" spans="1:12" x14ac:dyDescent="0.25">
      <c r="A168" s="5">
        <v>46186</v>
      </c>
      <c r="B168" t="s">
        <v>151</v>
      </c>
      <c r="C168" t="s">
        <v>931</v>
      </c>
      <c r="D168" t="s">
        <v>30</v>
      </c>
      <c r="E168" t="s">
        <v>42</v>
      </c>
      <c r="F168">
        <v>400</v>
      </c>
      <c r="G168">
        <v>410</v>
      </c>
      <c r="H168">
        <v>0</v>
      </c>
      <c r="I168">
        <v>7</v>
      </c>
      <c r="J168">
        <v>0</v>
      </c>
      <c r="K168">
        <v>0</v>
      </c>
      <c r="L168" s="4">
        <v>1</v>
      </c>
    </row>
    <row r="169" spans="1:12" x14ac:dyDescent="0.25">
      <c r="A169" s="5">
        <v>46186</v>
      </c>
      <c r="B169" t="s">
        <v>580</v>
      </c>
      <c r="C169" t="s">
        <v>931</v>
      </c>
      <c r="D169" t="s">
        <v>30</v>
      </c>
      <c r="E169" t="s">
        <v>60</v>
      </c>
      <c r="F169">
        <v>1260</v>
      </c>
      <c r="G169">
        <v>2480</v>
      </c>
      <c r="H169">
        <v>0</v>
      </c>
      <c r="I169">
        <v>12</v>
      </c>
      <c r="J169">
        <v>0</v>
      </c>
      <c r="K169">
        <v>0</v>
      </c>
      <c r="L169" s="4">
        <v>1</v>
      </c>
    </row>
    <row r="170" spans="1:12" x14ac:dyDescent="0.25">
      <c r="A170" s="5">
        <v>46186</v>
      </c>
      <c r="B170" t="s">
        <v>746</v>
      </c>
      <c r="C170" t="s">
        <v>931</v>
      </c>
      <c r="D170" t="s">
        <v>30</v>
      </c>
      <c r="E170" t="s">
        <v>31</v>
      </c>
      <c r="F170">
        <v>800</v>
      </c>
      <c r="G170">
        <v>520</v>
      </c>
      <c r="H170">
        <v>280</v>
      </c>
      <c r="I170">
        <v>21</v>
      </c>
      <c r="J170">
        <v>7</v>
      </c>
      <c r="K170">
        <v>0.33333333333333298</v>
      </c>
      <c r="L170" s="4">
        <v>0.66666666666666596</v>
      </c>
    </row>
    <row r="171" spans="1:12" x14ac:dyDescent="0.25">
      <c r="A171" s="5">
        <v>46186</v>
      </c>
      <c r="B171" t="s">
        <v>868</v>
      </c>
      <c r="C171" t="s">
        <v>931</v>
      </c>
      <c r="D171" t="s">
        <v>30</v>
      </c>
      <c r="E171" t="s">
        <v>108</v>
      </c>
      <c r="F171">
        <v>0</v>
      </c>
      <c r="G171">
        <v>200</v>
      </c>
      <c r="H171">
        <v>0</v>
      </c>
      <c r="I171">
        <v>0</v>
      </c>
      <c r="J171">
        <v>0</v>
      </c>
      <c r="K171" t="s">
        <v>932</v>
      </c>
      <c r="L171" s="4" t="s">
        <v>932</v>
      </c>
    </row>
    <row r="172" spans="1:12" x14ac:dyDescent="0.25">
      <c r="A172" s="5">
        <v>46186</v>
      </c>
      <c r="B172" t="s">
        <v>166</v>
      </c>
      <c r="C172" t="s">
        <v>931</v>
      </c>
      <c r="D172" t="s">
        <v>30</v>
      </c>
      <c r="E172" t="s">
        <v>31</v>
      </c>
      <c r="F172">
        <v>40</v>
      </c>
      <c r="G172">
        <v>70</v>
      </c>
      <c r="H172">
        <v>0</v>
      </c>
      <c r="I172">
        <v>2</v>
      </c>
      <c r="J172">
        <v>0</v>
      </c>
      <c r="K172">
        <v>0</v>
      </c>
      <c r="L172" s="4">
        <v>1</v>
      </c>
    </row>
    <row r="173" spans="1:12" x14ac:dyDescent="0.25">
      <c r="A173" s="5">
        <v>46186</v>
      </c>
      <c r="B173" t="s">
        <v>919</v>
      </c>
      <c r="C173" t="s">
        <v>931</v>
      </c>
      <c r="D173" t="s">
        <v>30</v>
      </c>
      <c r="E173" t="s">
        <v>37</v>
      </c>
      <c r="F173">
        <v>720</v>
      </c>
      <c r="G173">
        <v>1330</v>
      </c>
      <c r="H173">
        <v>0</v>
      </c>
      <c r="I173">
        <v>8</v>
      </c>
      <c r="J173">
        <v>0</v>
      </c>
      <c r="K173">
        <v>0</v>
      </c>
      <c r="L173" s="4">
        <v>1</v>
      </c>
    </row>
    <row r="174" spans="1:12" x14ac:dyDescent="0.25">
      <c r="A174" s="5">
        <v>46186</v>
      </c>
      <c r="B174" t="s">
        <v>736</v>
      </c>
      <c r="C174" t="s">
        <v>931</v>
      </c>
      <c r="D174" t="s">
        <v>30</v>
      </c>
      <c r="E174" t="s">
        <v>42</v>
      </c>
      <c r="F174">
        <v>360</v>
      </c>
      <c r="G174">
        <v>360</v>
      </c>
      <c r="H174">
        <v>0</v>
      </c>
      <c r="I174">
        <v>9</v>
      </c>
      <c r="J174">
        <v>0</v>
      </c>
      <c r="K174">
        <v>0</v>
      </c>
      <c r="L174" s="4">
        <v>1</v>
      </c>
    </row>
    <row r="175" spans="1:12" x14ac:dyDescent="0.25">
      <c r="A175" s="5">
        <v>46186</v>
      </c>
      <c r="B175" t="s">
        <v>267</v>
      </c>
      <c r="C175" t="s">
        <v>931</v>
      </c>
      <c r="D175" t="s">
        <v>30</v>
      </c>
      <c r="E175" t="s">
        <v>42</v>
      </c>
      <c r="F175">
        <v>380</v>
      </c>
      <c r="G175">
        <v>400</v>
      </c>
      <c r="H175">
        <v>0</v>
      </c>
      <c r="I175">
        <v>9</v>
      </c>
      <c r="J175">
        <v>0</v>
      </c>
      <c r="K175">
        <v>0</v>
      </c>
      <c r="L175" s="4">
        <v>1</v>
      </c>
    </row>
    <row r="176" spans="1:12" x14ac:dyDescent="0.25">
      <c r="A176" s="5">
        <v>46186</v>
      </c>
      <c r="B176" t="s">
        <v>252</v>
      </c>
      <c r="C176" t="s">
        <v>931</v>
      </c>
      <c r="D176" t="s">
        <v>30</v>
      </c>
      <c r="E176" t="s">
        <v>42</v>
      </c>
      <c r="F176">
        <v>400</v>
      </c>
      <c r="G176">
        <v>420</v>
      </c>
      <c r="H176">
        <v>0</v>
      </c>
      <c r="I176">
        <v>8</v>
      </c>
      <c r="J176">
        <v>0</v>
      </c>
      <c r="K176">
        <v>0</v>
      </c>
      <c r="L176" s="4">
        <v>1</v>
      </c>
    </row>
    <row r="177" spans="1:12" x14ac:dyDescent="0.25">
      <c r="A177" s="5">
        <v>46186</v>
      </c>
      <c r="B177" t="s">
        <v>375</v>
      </c>
      <c r="C177" t="s">
        <v>931</v>
      </c>
      <c r="D177" t="s">
        <v>30</v>
      </c>
      <c r="E177" t="s">
        <v>42</v>
      </c>
      <c r="F177">
        <v>840</v>
      </c>
      <c r="G177">
        <v>990</v>
      </c>
      <c r="H177">
        <v>0</v>
      </c>
      <c r="I177">
        <v>21</v>
      </c>
      <c r="J177">
        <v>0</v>
      </c>
      <c r="K177">
        <v>0</v>
      </c>
      <c r="L177" s="4">
        <v>1</v>
      </c>
    </row>
    <row r="178" spans="1:12" x14ac:dyDescent="0.25">
      <c r="A178" s="5">
        <v>46186</v>
      </c>
      <c r="B178" t="s">
        <v>297</v>
      </c>
      <c r="C178" t="s">
        <v>931</v>
      </c>
      <c r="D178" t="s">
        <v>30</v>
      </c>
      <c r="E178" t="s">
        <v>31</v>
      </c>
      <c r="F178">
        <v>600</v>
      </c>
      <c r="G178">
        <v>655</v>
      </c>
      <c r="H178">
        <v>0</v>
      </c>
      <c r="I178">
        <v>4</v>
      </c>
      <c r="J178">
        <v>0</v>
      </c>
      <c r="K178">
        <v>0</v>
      </c>
      <c r="L178" s="4">
        <v>1</v>
      </c>
    </row>
    <row r="179" spans="1:12" x14ac:dyDescent="0.25">
      <c r="A179" s="5">
        <v>46186</v>
      </c>
      <c r="B179" t="s">
        <v>116</v>
      </c>
      <c r="C179" t="s">
        <v>931</v>
      </c>
      <c r="D179" t="s">
        <v>30</v>
      </c>
      <c r="E179" t="s">
        <v>108</v>
      </c>
      <c r="F179">
        <v>2320</v>
      </c>
      <c r="G179">
        <v>2090</v>
      </c>
      <c r="H179">
        <v>200</v>
      </c>
      <c r="I179">
        <v>58</v>
      </c>
      <c r="J179">
        <v>5</v>
      </c>
      <c r="K179">
        <v>8.6206896551724102E-2</v>
      </c>
      <c r="L179" s="4">
        <v>0.91379310344827502</v>
      </c>
    </row>
    <row r="180" spans="1:12" x14ac:dyDescent="0.25">
      <c r="A180" s="5">
        <v>46186</v>
      </c>
      <c r="B180" t="s">
        <v>853</v>
      </c>
      <c r="C180" t="s">
        <v>931</v>
      </c>
      <c r="D180" t="s">
        <v>30</v>
      </c>
      <c r="E180" t="s">
        <v>31</v>
      </c>
      <c r="F180">
        <v>0</v>
      </c>
      <c r="G180">
        <v>500</v>
      </c>
      <c r="H180">
        <v>0</v>
      </c>
      <c r="I180">
        <v>0</v>
      </c>
      <c r="J180">
        <v>0</v>
      </c>
      <c r="K180" t="s">
        <v>932</v>
      </c>
      <c r="L180" s="4" t="s">
        <v>932</v>
      </c>
    </row>
    <row r="181" spans="1:12" x14ac:dyDescent="0.25">
      <c r="A181" s="5">
        <v>46186</v>
      </c>
      <c r="B181" t="s">
        <v>609</v>
      </c>
      <c r="C181" t="s">
        <v>931</v>
      </c>
      <c r="D181" t="s">
        <v>30</v>
      </c>
      <c r="E181" t="s">
        <v>60</v>
      </c>
      <c r="F181">
        <v>510</v>
      </c>
      <c r="G181">
        <v>580</v>
      </c>
      <c r="H181">
        <v>0</v>
      </c>
      <c r="I181">
        <v>5</v>
      </c>
      <c r="J181">
        <v>0</v>
      </c>
      <c r="K181">
        <v>0</v>
      </c>
      <c r="L181" s="4">
        <v>1</v>
      </c>
    </row>
    <row r="182" spans="1:12" x14ac:dyDescent="0.25">
      <c r="A182" s="5">
        <v>46186</v>
      </c>
      <c r="B182" t="s">
        <v>435</v>
      </c>
      <c r="C182" t="s">
        <v>931</v>
      </c>
      <c r="D182" t="s">
        <v>30</v>
      </c>
      <c r="E182" t="s">
        <v>37</v>
      </c>
      <c r="F182">
        <v>920</v>
      </c>
      <c r="G182">
        <v>1090</v>
      </c>
      <c r="H182">
        <v>0</v>
      </c>
      <c r="I182">
        <v>23</v>
      </c>
      <c r="J182">
        <v>0</v>
      </c>
      <c r="K182">
        <v>0</v>
      </c>
      <c r="L182" s="4">
        <v>1</v>
      </c>
    </row>
    <row r="183" spans="1:12" x14ac:dyDescent="0.25">
      <c r="A183" s="5">
        <v>46186</v>
      </c>
      <c r="B183" t="s">
        <v>781</v>
      </c>
      <c r="C183" t="s">
        <v>931</v>
      </c>
      <c r="D183" t="s">
        <v>30</v>
      </c>
      <c r="E183" t="s">
        <v>31</v>
      </c>
      <c r="F183">
        <v>100</v>
      </c>
      <c r="G183">
        <v>100</v>
      </c>
      <c r="H183">
        <v>0</v>
      </c>
      <c r="I183">
        <v>3</v>
      </c>
      <c r="J183">
        <v>0</v>
      </c>
      <c r="K183">
        <v>0</v>
      </c>
      <c r="L183" s="4">
        <v>1</v>
      </c>
    </row>
    <row r="184" spans="1:12" x14ac:dyDescent="0.25">
      <c r="A184" s="5">
        <v>46186</v>
      </c>
      <c r="B184" t="s">
        <v>826</v>
      </c>
      <c r="C184" t="s">
        <v>931</v>
      </c>
      <c r="D184" t="s">
        <v>30</v>
      </c>
      <c r="E184" t="s">
        <v>108</v>
      </c>
      <c r="F184">
        <v>120</v>
      </c>
      <c r="G184">
        <v>50</v>
      </c>
      <c r="H184">
        <v>40</v>
      </c>
      <c r="I184">
        <v>3</v>
      </c>
      <c r="J184">
        <v>1</v>
      </c>
      <c r="K184">
        <v>0.33333333333333298</v>
      </c>
      <c r="L184" s="4">
        <v>0.66666666666666596</v>
      </c>
    </row>
    <row r="185" spans="1:12" x14ac:dyDescent="0.25">
      <c r="A185" s="5">
        <v>46186</v>
      </c>
      <c r="B185" t="s">
        <v>896</v>
      </c>
      <c r="C185" t="s">
        <v>931</v>
      </c>
      <c r="D185" t="s">
        <v>30</v>
      </c>
      <c r="E185" t="s">
        <v>108</v>
      </c>
      <c r="F185">
        <v>0</v>
      </c>
      <c r="G185">
        <v>440</v>
      </c>
      <c r="H185">
        <v>0</v>
      </c>
      <c r="I185">
        <v>0</v>
      </c>
      <c r="J185">
        <v>0</v>
      </c>
      <c r="K185" t="s">
        <v>932</v>
      </c>
      <c r="L185" s="4" t="s">
        <v>932</v>
      </c>
    </row>
    <row r="186" spans="1:12" x14ac:dyDescent="0.25">
      <c r="A186" s="5">
        <v>46186</v>
      </c>
      <c r="B186" t="s">
        <v>753</v>
      </c>
      <c r="C186" t="s">
        <v>931</v>
      </c>
      <c r="D186" t="s">
        <v>30</v>
      </c>
      <c r="E186" t="s">
        <v>31</v>
      </c>
      <c r="F186">
        <v>280</v>
      </c>
      <c r="G186">
        <v>110</v>
      </c>
      <c r="H186">
        <v>168</v>
      </c>
      <c r="I186">
        <v>9</v>
      </c>
      <c r="J186">
        <v>5</v>
      </c>
      <c r="K186">
        <v>0.55555555555555503</v>
      </c>
      <c r="L186" s="4">
        <v>0.44444444444444398</v>
      </c>
    </row>
    <row r="187" spans="1:12" x14ac:dyDescent="0.25">
      <c r="A187" s="5">
        <v>46186</v>
      </c>
      <c r="B187" t="s">
        <v>789</v>
      </c>
      <c r="C187" t="s">
        <v>931</v>
      </c>
      <c r="D187" t="s">
        <v>30</v>
      </c>
      <c r="E187" t="s">
        <v>37</v>
      </c>
      <c r="F187">
        <v>2220</v>
      </c>
      <c r="G187">
        <v>2580</v>
      </c>
      <c r="H187">
        <v>0</v>
      </c>
      <c r="I187">
        <v>54</v>
      </c>
      <c r="J187">
        <v>0</v>
      </c>
      <c r="K187">
        <v>0</v>
      </c>
      <c r="L187" s="4">
        <v>1</v>
      </c>
    </row>
    <row r="188" spans="1:12" x14ac:dyDescent="0.25">
      <c r="A188" s="5">
        <v>46186</v>
      </c>
      <c r="B188" t="s">
        <v>841</v>
      </c>
      <c r="C188" t="s">
        <v>931</v>
      </c>
      <c r="D188" t="s">
        <v>30</v>
      </c>
      <c r="E188" t="s">
        <v>42</v>
      </c>
      <c r="F188">
        <v>0</v>
      </c>
      <c r="G188">
        <v>220</v>
      </c>
      <c r="H188">
        <v>0</v>
      </c>
      <c r="I188">
        <v>0</v>
      </c>
      <c r="J188">
        <v>0</v>
      </c>
      <c r="K188" t="s">
        <v>932</v>
      </c>
      <c r="L188" s="4" t="s">
        <v>932</v>
      </c>
    </row>
    <row r="189" spans="1:12" x14ac:dyDescent="0.25">
      <c r="A189" s="5">
        <v>46186</v>
      </c>
      <c r="B189" t="s">
        <v>467</v>
      </c>
      <c r="C189" t="s">
        <v>931</v>
      </c>
      <c r="D189" t="s">
        <v>30</v>
      </c>
      <c r="E189" t="s">
        <v>37</v>
      </c>
      <c r="F189">
        <v>300</v>
      </c>
      <c r="G189">
        <v>310</v>
      </c>
      <c r="H189">
        <v>0</v>
      </c>
      <c r="I189">
        <v>8</v>
      </c>
      <c r="J189">
        <v>0</v>
      </c>
      <c r="K189">
        <v>0</v>
      </c>
      <c r="L189" s="4">
        <v>1</v>
      </c>
    </row>
    <row r="190" spans="1:12" x14ac:dyDescent="0.25">
      <c r="A190" s="5">
        <v>46186</v>
      </c>
      <c r="B190" t="s">
        <v>865</v>
      </c>
      <c r="C190" t="s">
        <v>931</v>
      </c>
      <c r="D190" t="s">
        <v>30</v>
      </c>
      <c r="E190" t="s">
        <v>42</v>
      </c>
      <c r="F190">
        <v>0</v>
      </c>
      <c r="G190">
        <v>270</v>
      </c>
      <c r="H190">
        <v>0</v>
      </c>
      <c r="I190">
        <v>0</v>
      </c>
      <c r="J190">
        <v>0</v>
      </c>
      <c r="K190" t="s">
        <v>932</v>
      </c>
      <c r="L190" s="4" t="s">
        <v>932</v>
      </c>
    </row>
    <row r="191" spans="1:12" x14ac:dyDescent="0.25">
      <c r="A191" s="5">
        <v>46186</v>
      </c>
      <c r="B191" t="s">
        <v>629</v>
      </c>
      <c r="C191" t="s">
        <v>931</v>
      </c>
      <c r="D191" t="s">
        <v>30</v>
      </c>
      <c r="E191" t="s">
        <v>60</v>
      </c>
      <c r="F191">
        <v>940</v>
      </c>
      <c r="G191">
        <v>1080</v>
      </c>
      <c r="H191">
        <v>0</v>
      </c>
      <c r="I191">
        <v>19</v>
      </c>
      <c r="J191">
        <v>0</v>
      </c>
      <c r="K191">
        <v>0</v>
      </c>
      <c r="L191" s="4">
        <v>1</v>
      </c>
    </row>
    <row r="192" spans="1:12" x14ac:dyDescent="0.25">
      <c r="A192" s="5">
        <v>46186</v>
      </c>
      <c r="B192" t="s">
        <v>416</v>
      </c>
      <c r="C192" t="s">
        <v>931</v>
      </c>
      <c r="D192" t="s">
        <v>30</v>
      </c>
      <c r="E192" t="s">
        <v>60</v>
      </c>
      <c r="F192">
        <v>1080</v>
      </c>
      <c r="G192">
        <v>970</v>
      </c>
      <c r="H192">
        <v>90</v>
      </c>
      <c r="I192">
        <v>22</v>
      </c>
      <c r="J192">
        <v>2</v>
      </c>
      <c r="K192">
        <v>9.0909090909090898E-2</v>
      </c>
      <c r="L192" s="4">
        <v>0.90909090909090895</v>
      </c>
    </row>
    <row r="193" spans="1:12" x14ac:dyDescent="0.25">
      <c r="A193" s="5">
        <v>46186</v>
      </c>
      <c r="B193" t="s">
        <v>195</v>
      </c>
      <c r="C193" t="s">
        <v>931</v>
      </c>
      <c r="D193" t="s">
        <v>30</v>
      </c>
      <c r="E193" t="s">
        <v>31</v>
      </c>
      <c r="F193">
        <v>360</v>
      </c>
      <c r="G193">
        <v>320</v>
      </c>
      <c r="H193">
        <v>40</v>
      </c>
      <c r="I193">
        <v>14</v>
      </c>
      <c r="J193">
        <v>1</v>
      </c>
      <c r="K193">
        <v>7.1428571428571397E-2</v>
      </c>
      <c r="L193" s="4">
        <v>0.92857142857142805</v>
      </c>
    </row>
    <row r="194" spans="1:12" x14ac:dyDescent="0.25">
      <c r="A194" s="5">
        <v>46186</v>
      </c>
      <c r="B194" t="s">
        <v>127</v>
      </c>
      <c r="C194" t="s">
        <v>931</v>
      </c>
      <c r="D194" t="s">
        <v>30</v>
      </c>
      <c r="E194" t="s">
        <v>31</v>
      </c>
      <c r="F194">
        <v>620</v>
      </c>
      <c r="G194">
        <v>970</v>
      </c>
      <c r="H194">
        <v>0</v>
      </c>
      <c r="I194">
        <v>7</v>
      </c>
      <c r="J194">
        <v>0</v>
      </c>
      <c r="K194">
        <v>0</v>
      </c>
      <c r="L194" s="4">
        <v>1</v>
      </c>
    </row>
    <row r="195" spans="1:12" x14ac:dyDescent="0.25">
      <c r="A195" s="5">
        <v>46186</v>
      </c>
      <c r="B195" t="s">
        <v>903</v>
      </c>
      <c r="C195" t="s">
        <v>931</v>
      </c>
      <c r="D195" t="s">
        <v>30</v>
      </c>
      <c r="E195" t="s">
        <v>60</v>
      </c>
      <c r="F195">
        <v>0</v>
      </c>
      <c r="G195">
        <v>230</v>
      </c>
      <c r="H195">
        <v>0</v>
      </c>
      <c r="I195">
        <v>0</v>
      </c>
      <c r="J195">
        <v>0</v>
      </c>
      <c r="K195" t="s">
        <v>932</v>
      </c>
      <c r="L195" s="4" t="s">
        <v>932</v>
      </c>
    </row>
    <row r="196" spans="1:12" x14ac:dyDescent="0.25">
      <c r="A196" s="5">
        <v>46186</v>
      </c>
      <c r="B196" t="s">
        <v>204</v>
      </c>
      <c r="C196" t="s">
        <v>931</v>
      </c>
      <c r="D196" t="s">
        <v>30</v>
      </c>
      <c r="E196" t="s">
        <v>31</v>
      </c>
      <c r="F196">
        <v>340</v>
      </c>
      <c r="G196">
        <v>490</v>
      </c>
      <c r="H196">
        <v>0</v>
      </c>
      <c r="I196">
        <v>17</v>
      </c>
      <c r="J196">
        <v>0</v>
      </c>
      <c r="K196">
        <v>0</v>
      </c>
      <c r="L196" s="4">
        <v>1</v>
      </c>
    </row>
    <row r="197" spans="1:12" x14ac:dyDescent="0.25">
      <c r="A197" s="5">
        <v>46186</v>
      </c>
      <c r="B197" t="s">
        <v>699</v>
      </c>
      <c r="C197" t="s">
        <v>931</v>
      </c>
      <c r="D197" t="s">
        <v>30</v>
      </c>
      <c r="E197" t="s">
        <v>42</v>
      </c>
      <c r="F197">
        <v>490</v>
      </c>
      <c r="G197">
        <v>550</v>
      </c>
      <c r="H197">
        <v>0</v>
      </c>
      <c r="I197">
        <v>10</v>
      </c>
      <c r="J197">
        <v>0</v>
      </c>
      <c r="K197">
        <v>0</v>
      </c>
      <c r="L19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BF5FC-F755-4A01-B338-8952FBAE531F}">
  <dimension ref="A1:M169"/>
  <sheetViews>
    <sheetView tabSelected="1" workbookViewId="0">
      <selection activeCell="H12" sqref="H12"/>
    </sheetView>
  </sheetViews>
  <sheetFormatPr defaultRowHeight="15" x14ac:dyDescent="0.25"/>
  <cols>
    <col min="1" max="12" width="9.140625" style="6"/>
    <col min="13" max="13" width="21" style="6" bestFit="1" customWidth="1"/>
  </cols>
  <sheetData>
    <row r="1" spans="1:13" x14ac:dyDescent="0.25">
      <c r="A1" s="6" t="s">
        <v>921</v>
      </c>
      <c r="B1" s="6" t="s">
        <v>922</v>
      </c>
      <c r="C1" s="6" t="s">
        <v>923</v>
      </c>
      <c r="D1" s="6" t="s">
        <v>15</v>
      </c>
      <c r="E1" s="6" t="s">
        <v>16</v>
      </c>
      <c r="F1" s="6" t="s">
        <v>924</v>
      </c>
      <c r="G1" s="6" t="s">
        <v>925</v>
      </c>
      <c r="H1" s="6" t="s">
        <v>926</v>
      </c>
      <c r="I1" s="6" t="s">
        <v>927</v>
      </c>
      <c r="J1" s="6" t="s">
        <v>928</v>
      </c>
      <c r="K1" s="6" t="s">
        <v>929</v>
      </c>
      <c r="L1" s="7" t="s">
        <v>930</v>
      </c>
      <c r="M1" s="8" t="s">
        <v>933</v>
      </c>
    </row>
    <row r="2" spans="1:13" x14ac:dyDescent="0.25">
      <c r="A2" s="9">
        <v>46186</v>
      </c>
      <c r="B2" s="6" t="s">
        <v>783</v>
      </c>
      <c r="C2" s="6" t="s">
        <v>931</v>
      </c>
      <c r="D2" s="6" t="s">
        <v>30</v>
      </c>
      <c r="E2" s="6" t="s">
        <v>31</v>
      </c>
      <c r="F2" s="6">
        <v>100</v>
      </c>
      <c r="G2" s="6">
        <v>120</v>
      </c>
      <c r="H2" s="6">
        <v>0</v>
      </c>
      <c r="I2" s="6">
        <v>4</v>
      </c>
      <c r="J2" s="6">
        <v>0</v>
      </c>
      <c r="K2" s="6">
        <v>0</v>
      </c>
      <c r="L2" s="7">
        <v>1</v>
      </c>
      <c r="M2" s="6" t="s">
        <v>934</v>
      </c>
    </row>
    <row r="3" spans="1:13" x14ac:dyDescent="0.25">
      <c r="A3" s="9">
        <v>46186</v>
      </c>
      <c r="B3" s="6" t="s">
        <v>372</v>
      </c>
      <c r="C3" s="6" t="s">
        <v>931</v>
      </c>
      <c r="D3" s="6" t="s">
        <v>30</v>
      </c>
      <c r="E3" s="6" t="s">
        <v>60</v>
      </c>
      <c r="F3" s="6">
        <v>1320</v>
      </c>
      <c r="G3" s="6">
        <v>1820</v>
      </c>
      <c r="H3" s="6">
        <v>0</v>
      </c>
      <c r="I3" s="6">
        <v>41</v>
      </c>
      <c r="J3" s="6">
        <v>0</v>
      </c>
      <c r="K3" s="6">
        <v>0</v>
      </c>
      <c r="L3" s="7">
        <v>1</v>
      </c>
      <c r="M3" s="6" t="s">
        <v>935</v>
      </c>
    </row>
    <row r="4" spans="1:13" x14ac:dyDescent="0.25">
      <c r="A4" s="9">
        <v>46186</v>
      </c>
      <c r="B4" s="6" t="s">
        <v>241</v>
      </c>
      <c r="C4" s="6" t="s">
        <v>931</v>
      </c>
      <c r="D4" s="6" t="s">
        <v>30</v>
      </c>
      <c r="E4" s="6" t="s">
        <v>42</v>
      </c>
      <c r="F4" s="6">
        <v>500</v>
      </c>
      <c r="G4" s="6">
        <v>510</v>
      </c>
      <c r="H4" s="6">
        <v>0</v>
      </c>
      <c r="I4" s="6">
        <v>6</v>
      </c>
      <c r="J4" s="6">
        <v>0</v>
      </c>
      <c r="K4" s="6">
        <v>0</v>
      </c>
      <c r="L4" s="7">
        <v>1</v>
      </c>
      <c r="M4" s="6" t="s">
        <v>936</v>
      </c>
    </row>
    <row r="5" spans="1:13" x14ac:dyDescent="0.25">
      <c r="A5" s="9">
        <v>46186</v>
      </c>
      <c r="B5" s="6" t="s">
        <v>106</v>
      </c>
      <c r="C5" s="6" t="s">
        <v>931</v>
      </c>
      <c r="D5" s="6" t="s">
        <v>30</v>
      </c>
      <c r="E5" s="6" t="s">
        <v>108</v>
      </c>
      <c r="F5" s="6">
        <v>500</v>
      </c>
      <c r="G5" s="6">
        <v>520</v>
      </c>
      <c r="H5" s="6">
        <v>0</v>
      </c>
      <c r="I5" s="6">
        <v>25</v>
      </c>
      <c r="J5" s="6">
        <v>0</v>
      </c>
      <c r="K5" s="6">
        <v>0</v>
      </c>
      <c r="L5" s="7">
        <v>1</v>
      </c>
      <c r="M5" s="6" t="s">
        <v>937</v>
      </c>
    </row>
    <row r="6" spans="1:13" x14ac:dyDescent="0.25">
      <c r="A6" s="9">
        <v>46186</v>
      </c>
      <c r="B6" s="6" t="s">
        <v>712</v>
      </c>
      <c r="C6" s="6" t="s">
        <v>931</v>
      </c>
      <c r="D6" s="6" t="s">
        <v>30</v>
      </c>
      <c r="E6" s="6" t="s">
        <v>42</v>
      </c>
      <c r="F6" s="6">
        <v>240</v>
      </c>
      <c r="G6" s="6">
        <v>400</v>
      </c>
      <c r="H6" s="6">
        <v>0</v>
      </c>
      <c r="I6" s="6">
        <v>6</v>
      </c>
      <c r="J6" s="6">
        <v>0</v>
      </c>
      <c r="K6" s="6">
        <v>0</v>
      </c>
      <c r="L6" s="7">
        <v>1</v>
      </c>
      <c r="M6" s="6" t="s">
        <v>938</v>
      </c>
    </row>
    <row r="7" spans="1:13" x14ac:dyDescent="0.25">
      <c r="A7" s="9">
        <v>46186</v>
      </c>
      <c r="B7" s="6" t="s">
        <v>447</v>
      </c>
      <c r="C7" s="6" t="s">
        <v>931</v>
      </c>
      <c r="D7" s="6" t="s">
        <v>30</v>
      </c>
      <c r="E7" s="6" t="s">
        <v>60</v>
      </c>
      <c r="F7" s="6">
        <v>1550</v>
      </c>
      <c r="G7" s="6">
        <v>1870</v>
      </c>
      <c r="H7" s="6">
        <v>0</v>
      </c>
      <c r="I7" s="6">
        <v>35</v>
      </c>
      <c r="J7" s="6">
        <v>0</v>
      </c>
      <c r="K7" s="6">
        <v>0</v>
      </c>
      <c r="L7" s="7">
        <v>1</v>
      </c>
      <c r="M7" s="6" t="s">
        <v>939</v>
      </c>
    </row>
    <row r="8" spans="1:13" x14ac:dyDescent="0.25">
      <c r="A8" s="9">
        <v>46186</v>
      </c>
      <c r="B8" s="6" t="s">
        <v>419</v>
      </c>
      <c r="C8" s="6" t="s">
        <v>931</v>
      </c>
      <c r="D8" s="6" t="s">
        <v>30</v>
      </c>
      <c r="E8" s="6" t="s">
        <v>31</v>
      </c>
      <c r="F8" s="6">
        <v>690</v>
      </c>
      <c r="G8" s="6">
        <v>870</v>
      </c>
      <c r="H8" s="6">
        <v>0</v>
      </c>
      <c r="I8" s="6">
        <v>16</v>
      </c>
      <c r="J8" s="6">
        <v>0</v>
      </c>
      <c r="K8" s="6">
        <v>0</v>
      </c>
      <c r="L8" s="7">
        <v>1</v>
      </c>
      <c r="M8" s="6" t="s">
        <v>940</v>
      </c>
    </row>
    <row r="9" spans="1:13" x14ac:dyDescent="0.25">
      <c r="A9" s="9">
        <v>46186</v>
      </c>
      <c r="B9" s="6" t="s">
        <v>642</v>
      </c>
      <c r="C9" s="6" t="s">
        <v>931</v>
      </c>
      <c r="D9" s="6" t="s">
        <v>30</v>
      </c>
      <c r="E9" s="6" t="s">
        <v>42</v>
      </c>
      <c r="F9" s="6">
        <v>200</v>
      </c>
      <c r="G9" s="6">
        <v>240</v>
      </c>
      <c r="H9" s="6">
        <v>0</v>
      </c>
      <c r="I9" s="6">
        <v>3</v>
      </c>
      <c r="J9" s="6">
        <v>0</v>
      </c>
      <c r="K9" s="6">
        <v>0</v>
      </c>
      <c r="L9" s="7">
        <v>1</v>
      </c>
      <c r="M9" s="6" t="s">
        <v>941</v>
      </c>
    </row>
    <row r="10" spans="1:13" x14ac:dyDescent="0.25">
      <c r="A10" s="9">
        <v>46186</v>
      </c>
      <c r="B10" s="6" t="s">
        <v>388</v>
      </c>
      <c r="C10" s="6" t="s">
        <v>931</v>
      </c>
      <c r="D10" s="6" t="s">
        <v>30</v>
      </c>
      <c r="E10" s="6" t="s">
        <v>37</v>
      </c>
      <c r="F10" s="6">
        <v>1215</v>
      </c>
      <c r="G10" s="6">
        <v>1200</v>
      </c>
      <c r="H10" s="6">
        <v>0</v>
      </c>
      <c r="I10" s="6">
        <v>27</v>
      </c>
      <c r="J10" s="6">
        <v>0</v>
      </c>
      <c r="K10" s="6">
        <v>0</v>
      </c>
      <c r="L10" s="7">
        <v>1</v>
      </c>
      <c r="M10" s="6" t="s">
        <v>942</v>
      </c>
    </row>
    <row r="11" spans="1:13" x14ac:dyDescent="0.25">
      <c r="A11" s="9">
        <v>46186</v>
      </c>
      <c r="B11" s="6" t="s">
        <v>294</v>
      </c>
      <c r="C11" s="6" t="s">
        <v>931</v>
      </c>
      <c r="D11" s="6" t="s">
        <v>30</v>
      </c>
      <c r="E11" s="6" t="s">
        <v>37</v>
      </c>
      <c r="F11" s="6">
        <v>140</v>
      </c>
      <c r="G11" s="6">
        <v>170</v>
      </c>
      <c r="H11" s="6">
        <v>0</v>
      </c>
      <c r="I11" s="6">
        <v>4</v>
      </c>
      <c r="J11" s="6">
        <v>0</v>
      </c>
      <c r="K11" s="6">
        <v>0</v>
      </c>
      <c r="L11" s="7">
        <v>1</v>
      </c>
      <c r="M11" s="6" t="s">
        <v>943</v>
      </c>
    </row>
    <row r="12" spans="1:13" x14ac:dyDescent="0.25">
      <c r="A12" s="9">
        <v>46186</v>
      </c>
      <c r="B12" s="6" t="s">
        <v>471</v>
      </c>
      <c r="C12" s="6" t="s">
        <v>931</v>
      </c>
      <c r="D12" s="6" t="s">
        <v>30</v>
      </c>
      <c r="E12" s="6" t="s">
        <v>31</v>
      </c>
      <c r="F12" s="6">
        <v>590</v>
      </c>
      <c r="G12" s="6">
        <v>610</v>
      </c>
      <c r="H12" s="6">
        <v>0</v>
      </c>
      <c r="I12" s="6">
        <v>16</v>
      </c>
      <c r="J12" s="6">
        <v>0</v>
      </c>
      <c r="K12" s="6">
        <v>0</v>
      </c>
      <c r="L12" s="7">
        <v>1</v>
      </c>
      <c r="M12" s="6" t="s">
        <v>944</v>
      </c>
    </row>
    <row r="13" spans="1:13" x14ac:dyDescent="0.25">
      <c r="A13" s="9">
        <v>46186</v>
      </c>
      <c r="B13" s="6" t="s">
        <v>210</v>
      </c>
      <c r="C13" s="6" t="s">
        <v>931</v>
      </c>
      <c r="D13" s="6" t="s">
        <v>30</v>
      </c>
      <c r="E13" s="6" t="s">
        <v>31</v>
      </c>
      <c r="F13" s="6">
        <v>680</v>
      </c>
      <c r="G13" s="6">
        <v>560</v>
      </c>
      <c r="H13" s="6">
        <v>120</v>
      </c>
      <c r="I13" s="6">
        <v>21</v>
      </c>
      <c r="J13" s="6">
        <v>3</v>
      </c>
      <c r="K13" s="6">
        <v>0.14285714285714199</v>
      </c>
      <c r="L13" s="7">
        <v>0.85714285714285698</v>
      </c>
      <c r="M13" s="6" t="s">
        <v>945</v>
      </c>
    </row>
    <row r="14" spans="1:13" x14ac:dyDescent="0.25">
      <c r="A14" s="9">
        <v>46186</v>
      </c>
      <c r="B14" s="6" t="s">
        <v>636</v>
      </c>
      <c r="C14" s="6" t="s">
        <v>931</v>
      </c>
      <c r="D14" s="6" t="s">
        <v>30</v>
      </c>
      <c r="E14" s="6" t="s">
        <v>31</v>
      </c>
      <c r="F14" s="6">
        <v>600</v>
      </c>
      <c r="G14" s="6">
        <v>740</v>
      </c>
      <c r="H14" s="6">
        <v>0</v>
      </c>
      <c r="I14" s="6">
        <v>30</v>
      </c>
      <c r="J14" s="6">
        <v>0</v>
      </c>
      <c r="K14" s="6">
        <v>0</v>
      </c>
      <c r="L14" s="7">
        <v>1</v>
      </c>
      <c r="M14" s="6" t="s">
        <v>946</v>
      </c>
    </row>
    <row r="15" spans="1:13" x14ac:dyDescent="0.25">
      <c r="A15" s="9">
        <v>46186</v>
      </c>
      <c r="B15" s="6" t="s">
        <v>573</v>
      </c>
      <c r="C15" s="6" t="s">
        <v>931</v>
      </c>
      <c r="D15" s="6" t="s">
        <v>30</v>
      </c>
      <c r="E15" s="6" t="s">
        <v>42</v>
      </c>
      <c r="F15" s="6">
        <v>4080</v>
      </c>
      <c r="G15" s="6">
        <v>2053</v>
      </c>
      <c r="H15" s="6">
        <v>0</v>
      </c>
      <c r="I15" s="6">
        <v>34</v>
      </c>
      <c r="J15" s="6">
        <v>0</v>
      </c>
      <c r="K15" s="6">
        <v>0</v>
      </c>
      <c r="L15" s="7">
        <v>1</v>
      </c>
      <c r="M15" s="6" t="s">
        <v>947</v>
      </c>
    </row>
    <row r="16" spans="1:13" x14ac:dyDescent="0.25">
      <c r="A16" s="9">
        <v>46186</v>
      </c>
      <c r="B16" s="6" t="s">
        <v>599</v>
      </c>
      <c r="C16" s="6" t="s">
        <v>931</v>
      </c>
      <c r="D16" s="6" t="s">
        <v>30</v>
      </c>
      <c r="E16" s="6" t="s">
        <v>31</v>
      </c>
      <c r="F16" s="6">
        <v>1210</v>
      </c>
      <c r="G16" s="6">
        <v>1510</v>
      </c>
      <c r="H16" s="6">
        <v>0</v>
      </c>
      <c r="I16" s="6">
        <v>29</v>
      </c>
      <c r="J16" s="6">
        <v>0</v>
      </c>
      <c r="K16" s="6">
        <v>0</v>
      </c>
      <c r="L16" s="7">
        <v>1</v>
      </c>
      <c r="M16" s="6" t="s">
        <v>948</v>
      </c>
    </row>
    <row r="17" spans="1:13" x14ac:dyDescent="0.25">
      <c r="A17" s="9">
        <v>46186</v>
      </c>
      <c r="B17" s="6" t="s">
        <v>207</v>
      </c>
      <c r="C17" s="6" t="s">
        <v>931</v>
      </c>
      <c r="D17" s="6" t="s">
        <v>30</v>
      </c>
      <c r="E17" s="6" t="s">
        <v>60</v>
      </c>
      <c r="F17" s="6">
        <v>980</v>
      </c>
      <c r="G17" s="6">
        <v>1180</v>
      </c>
      <c r="H17" s="6">
        <v>0</v>
      </c>
      <c r="I17" s="6">
        <v>12</v>
      </c>
      <c r="J17" s="6">
        <v>0</v>
      </c>
      <c r="K17" s="6">
        <v>0</v>
      </c>
      <c r="L17" s="7">
        <v>1</v>
      </c>
      <c r="M17" s="6" t="s">
        <v>949</v>
      </c>
    </row>
    <row r="18" spans="1:13" x14ac:dyDescent="0.25">
      <c r="A18" s="9">
        <v>46186</v>
      </c>
      <c r="B18" s="6" t="s">
        <v>92</v>
      </c>
      <c r="C18" s="6" t="s">
        <v>931</v>
      </c>
      <c r="D18" s="6" t="s">
        <v>30</v>
      </c>
      <c r="E18" s="6" t="s">
        <v>31</v>
      </c>
      <c r="F18" s="6">
        <v>1610</v>
      </c>
      <c r="G18" s="6">
        <v>910</v>
      </c>
      <c r="H18" s="6">
        <v>690</v>
      </c>
      <c r="I18" s="6">
        <v>45</v>
      </c>
      <c r="J18" s="6">
        <v>11</v>
      </c>
      <c r="K18" s="6">
        <v>0.24444444444444399</v>
      </c>
      <c r="L18" s="7">
        <v>0.75555555555555498</v>
      </c>
      <c r="M18" s="6" t="s">
        <v>950</v>
      </c>
    </row>
    <row r="19" spans="1:13" x14ac:dyDescent="0.25">
      <c r="A19" s="9">
        <v>46186</v>
      </c>
      <c r="B19" s="6" t="s">
        <v>552</v>
      </c>
      <c r="C19" s="6" t="s">
        <v>931</v>
      </c>
      <c r="D19" s="6" t="s">
        <v>30</v>
      </c>
      <c r="E19" s="6" t="s">
        <v>31</v>
      </c>
      <c r="F19" s="6">
        <v>210</v>
      </c>
      <c r="G19" s="6">
        <v>580</v>
      </c>
      <c r="H19" s="6">
        <v>0</v>
      </c>
      <c r="I19" s="6">
        <v>2</v>
      </c>
      <c r="J19" s="6">
        <v>0</v>
      </c>
      <c r="K19" s="6">
        <v>0</v>
      </c>
      <c r="L19" s="7">
        <v>1</v>
      </c>
      <c r="M19" s="6" t="s">
        <v>951</v>
      </c>
    </row>
    <row r="20" spans="1:13" x14ac:dyDescent="0.25">
      <c r="A20" s="9">
        <v>46186</v>
      </c>
      <c r="B20" s="6" t="s">
        <v>719</v>
      </c>
      <c r="C20" s="6" t="s">
        <v>931</v>
      </c>
      <c r="D20" s="6" t="s">
        <v>30</v>
      </c>
      <c r="E20" s="6" t="s">
        <v>42</v>
      </c>
      <c r="F20" s="6">
        <v>1200</v>
      </c>
      <c r="G20" s="6">
        <v>2460</v>
      </c>
      <c r="H20" s="6">
        <v>0</v>
      </c>
      <c r="I20" s="6">
        <v>26</v>
      </c>
      <c r="J20" s="6">
        <v>0</v>
      </c>
      <c r="K20" s="6">
        <v>0</v>
      </c>
      <c r="L20" s="7">
        <v>1</v>
      </c>
      <c r="M20" s="6" t="s">
        <v>952</v>
      </c>
    </row>
    <row r="21" spans="1:13" x14ac:dyDescent="0.25">
      <c r="A21" s="9">
        <v>46186</v>
      </c>
      <c r="B21" s="6" t="s">
        <v>441</v>
      </c>
      <c r="C21" s="6" t="s">
        <v>931</v>
      </c>
      <c r="D21" s="6" t="s">
        <v>30</v>
      </c>
      <c r="E21" s="6" t="s">
        <v>108</v>
      </c>
      <c r="F21" s="6">
        <v>930</v>
      </c>
      <c r="G21" s="6">
        <v>1110</v>
      </c>
      <c r="H21" s="6">
        <v>0</v>
      </c>
      <c r="I21" s="6">
        <v>30</v>
      </c>
      <c r="J21" s="6">
        <v>0</v>
      </c>
      <c r="K21" s="6">
        <v>0</v>
      </c>
      <c r="L21" s="7">
        <v>1</v>
      </c>
      <c r="M21" s="6" t="s">
        <v>953</v>
      </c>
    </row>
    <row r="22" spans="1:13" x14ac:dyDescent="0.25">
      <c r="A22" s="9">
        <v>46186</v>
      </c>
      <c r="B22" s="6" t="s">
        <v>813</v>
      </c>
      <c r="C22" s="6" t="s">
        <v>931</v>
      </c>
      <c r="D22" s="6" t="s">
        <v>30</v>
      </c>
      <c r="E22" s="6" t="s">
        <v>42</v>
      </c>
      <c r="F22" s="6">
        <v>100</v>
      </c>
      <c r="G22" s="6">
        <v>40</v>
      </c>
      <c r="H22" s="6">
        <v>60</v>
      </c>
      <c r="I22" s="6">
        <v>5</v>
      </c>
      <c r="J22" s="6">
        <v>3</v>
      </c>
      <c r="K22" s="6">
        <v>0.6</v>
      </c>
      <c r="L22" s="7">
        <v>0.4</v>
      </c>
      <c r="M22" s="6" t="s">
        <v>954</v>
      </c>
    </row>
    <row r="23" spans="1:13" x14ac:dyDescent="0.25">
      <c r="A23" s="9">
        <v>46186</v>
      </c>
      <c r="B23" s="6" t="s">
        <v>444</v>
      </c>
      <c r="C23" s="6" t="s">
        <v>931</v>
      </c>
      <c r="D23" s="6" t="s">
        <v>30</v>
      </c>
      <c r="E23" s="6" t="s">
        <v>60</v>
      </c>
      <c r="F23" s="6">
        <v>0</v>
      </c>
      <c r="G23" s="6">
        <v>1900</v>
      </c>
      <c r="H23" s="6">
        <v>0</v>
      </c>
      <c r="I23" s="6">
        <v>25</v>
      </c>
      <c r="J23" s="6">
        <v>0</v>
      </c>
      <c r="K23" s="6">
        <v>0</v>
      </c>
      <c r="L23" s="7">
        <v>1</v>
      </c>
      <c r="M23" s="6" t="s">
        <v>955</v>
      </c>
    </row>
    <row r="24" spans="1:13" x14ac:dyDescent="0.25">
      <c r="A24" s="9">
        <v>46186</v>
      </c>
      <c r="B24" s="6" t="s">
        <v>670</v>
      </c>
      <c r="C24" s="6" t="s">
        <v>931</v>
      </c>
      <c r="D24" s="6" t="s">
        <v>30</v>
      </c>
      <c r="E24" s="6" t="s">
        <v>108</v>
      </c>
      <c r="F24" s="6">
        <v>520</v>
      </c>
      <c r="G24" s="6">
        <v>710</v>
      </c>
      <c r="H24" s="6">
        <v>0</v>
      </c>
      <c r="I24" s="6">
        <v>14</v>
      </c>
      <c r="J24" s="6">
        <v>0</v>
      </c>
      <c r="K24" s="6">
        <v>0</v>
      </c>
      <c r="L24" s="7">
        <v>1</v>
      </c>
      <c r="M24" s="6" t="s">
        <v>956</v>
      </c>
    </row>
    <row r="25" spans="1:13" x14ac:dyDescent="0.25">
      <c r="A25" s="9">
        <v>46186</v>
      </c>
      <c r="B25" s="6" t="s">
        <v>238</v>
      </c>
      <c r="C25" s="6" t="s">
        <v>931</v>
      </c>
      <c r="D25" s="6" t="s">
        <v>30</v>
      </c>
      <c r="E25" s="6" t="s">
        <v>108</v>
      </c>
      <c r="F25" s="6">
        <v>520</v>
      </c>
      <c r="G25" s="6">
        <v>540</v>
      </c>
      <c r="H25" s="6">
        <v>0</v>
      </c>
      <c r="I25" s="6">
        <v>18</v>
      </c>
      <c r="J25" s="6">
        <v>0</v>
      </c>
      <c r="K25" s="6">
        <v>0</v>
      </c>
      <c r="L25" s="7">
        <v>1</v>
      </c>
      <c r="M25" s="6" t="s">
        <v>957</v>
      </c>
    </row>
    <row r="26" spans="1:13" x14ac:dyDescent="0.25">
      <c r="A26" s="9">
        <v>46186</v>
      </c>
      <c r="B26" s="6" t="s">
        <v>183</v>
      </c>
      <c r="C26" s="6" t="s">
        <v>931</v>
      </c>
      <c r="D26" s="6" t="s">
        <v>30</v>
      </c>
      <c r="E26" s="6" t="s">
        <v>31</v>
      </c>
      <c r="F26" s="6">
        <v>330</v>
      </c>
      <c r="G26" s="6">
        <v>320</v>
      </c>
      <c r="H26" s="6">
        <v>0</v>
      </c>
      <c r="I26" s="6">
        <v>5</v>
      </c>
      <c r="J26" s="6">
        <v>0</v>
      </c>
      <c r="K26" s="6">
        <v>0</v>
      </c>
      <c r="L26" s="7">
        <v>1</v>
      </c>
      <c r="M26" s="6" t="s">
        <v>958</v>
      </c>
    </row>
    <row r="27" spans="1:13" x14ac:dyDescent="0.25">
      <c r="A27" s="9">
        <v>46186</v>
      </c>
      <c r="B27" s="6" t="s">
        <v>226</v>
      </c>
      <c r="C27" s="6" t="s">
        <v>931</v>
      </c>
      <c r="D27" s="6" t="s">
        <v>30</v>
      </c>
      <c r="E27" s="6" t="s">
        <v>31</v>
      </c>
      <c r="F27" s="6">
        <v>300</v>
      </c>
      <c r="G27" s="6">
        <v>320</v>
      </c>
      <c r="H27" s="6">
        <v>0</v>
      </c>
      <c r="I27" s="6">
        <v>15</v>
      </c>
      <c r="J27" s="6">
        <v>0</v>
      </c>
      <c r="K27" s="6">
        <v>0</v>
      </c>
      <c r="L27" s="7">
        <v>1</v>
      </c>
      <c r="M27" s="6" t="s">
        <v>959</v>
      </c>
    </row>
    <row r="28" spans="1:13" x14ac:dyDescent="0.25">
      <c r="A28" s="9">
        <v>46186</v>
      </c>
      <c r="B28" s="6" t="s">
        <v>83</v>
      </c>
      <c r="C28" s="6" t="s">
        <v>931</v>
      </c>
      <c r="D28" s="6" t="s">
        <v>30</v>
      </c>
      <c r="E28" s="6" t="s">
        <v>60</v>
      </c>
      <c r="F28" s="6">
        <v>1270</v>
      </c>
      <c r="G28" s="6">
        <v>1570</v>
      </c>
      <c r="H28" s="6">
        <v>0</v>
      </c>
      <c r="I28" s="6">
        <v>26</v>
      </c>
      <c r="J28" s="6">
        <v>0</v>
      </c>
      <c r="K28" s="6">
        <v>0</v>
      </c>
      <c r="L28" s="7">
        <v>1</v>
      </c>
      <c r="M28" s="6" t="s">
        <v>960</v>
      </c>
    </row>
    <row r="29" spans="1:13" x14ac:dyDescent="0.25">
      <c r="A29" s="9">
        <v>46186</v>
      </c>
      <c r="B29" s="6" t="s">
        <v>88</v>
      </c>
      <c r="C29" s="6" t="s">
        <v>931</v>
      </c>
      <c r="D29" s="6" t="s">
        <v>30</v>
      </c>
      <c r="E29" s="6" t="s">
        <v>60</v>
      </c>
      <c r="F29" s="6">
        <v>1300</v>
      </c>
      <c r="G29" s="6">
        <v>1930</v>
      </c>
      <c r="H29" s="6">
        <v>0</v>
      </c>
      <c r="I29" s="6">
        <v>20</v>
      </c>
      <c r="J29" s="6">
        <v>0</v>
      </c>
      <c r="K29" s="6">
        <v>0</v>
      </c>
      <c r="L29" s="7">
        <v>1</v>
      </c>
      <c r="M29" s="6" t="s">
        <v>961</v>
      </c>
    </row>
    <row r="30" spans="1:13" x14ac:dyDescent="0.25">
      <c r="A30" s="9">
        <v>46186</v>
      </c>
      <c r="B30" s="6" t="s">
        <v>507</v>
      </c>
      <c r="C30" s="6" t="s">
        <v>931</v>
      </c>
      <c r="D30" s="6" t="s">
        <v>30</v>
      </c>
      <c r="E30" s="6" t="s">
        <v>42</v>
      </c>
      <c r="F30" s="6">
        <v>520</v>
      </c>
      <c r="G30" s="6">
        <v>490</v>
      </c>
      <c r="H30" s="6">
        <v>0</v>
      </c>
      <c r="I30" s="6">
        <v>11</v>
      </c>
      <c r="J30" s="6">
        <v>0</v>
      </c>
      <c r="K30" s="6">
        <v>0</v>
      </c>
      <c r="L30" s="7">
        <v>1</v>
      </c>
      <c r="M30" s="6" t="s">
        <v>962</v>
      </c>
    </row>
    <row r="31" spans="1:13" x14ac:dyDescent="0.25">
      <c r="A31" s="9">
        <v>46186</v>
      </c>
      <c r="B31" s="6" t="s">
        <v>173</v>
      </c>
      <c r="C31" s="6" t="s">
        <v>931</v>
      </c>
      <c r="D31" s="6" t="s">
        <v>30</v>
      </c>
      <c r="E31" s="6" t="s">
        <v>60</v>
      </c>
      <c r="F31" s="6">
        <v>1310</v>
      </c>
      <c r="G31" s="6">
        <v>940</v>
      </c>
      <c r="H31" s="6">
        <v>360</v>
      </c>
      <c r="I31" s="6">
        <v>15</v>
      </c>
      <c r="J31" s="6">
        <v>4</v>
      </c>
      <c r="K31" s="6">
        <v>0.266666666666666</v>
      </c>
      <c r="L31" s="7">
        <v>0.73333333333333295</v>
      </c>
      <c r="M31" s="6" t="s">
        <v>963</v>
      </c>
    </row>
    <row r="32" spans="1:13" x14ac:dyDescent="0.25">
      <c r="A32" s="9">
        <v>46186</v>
      </c>
      <c r="B32" s="6" t="s">
        <v>709</v>
      </c>
      <c r="C32" s="6" t="s">
        <v>931</v>
      </c>
      <c r="D32" s="6" t="s">
        <v>30</v>
      </c>
      <c r="E32" s="6" t="s">
        <v>37</v>
      </c>
      <c r="F32" s="6">
        <v>1340</v>
      </c>
      <c r="G32" s="6">
        <v>1280</v>
      </c>
      <c r="H32" s="6">
        <v>60</v>
      </c>
      <c r="I32" s="6">
        <v>53</v>
      </c>
      <c r="J32" s="6">
        <v>1</v>
      </c>
      <c r="K32" s="6">
        <v>1.8867924528301799E-2</v>
      </c>
      <c r="L32" s="7">
        <v>0.98113207547169801</v>
      </c>
      <c r="M32" s="6" t="s">
        <v>964</v>
      </c>
    </row>
    <row r="33" spans="1:13" x14ac:dyDescent="0.25">
      <c r="A33" s="9">
        <v>46186</v>
      </c>
      <c r="B33" s="6" t="s">
        <v>816</v>
      </c>
      <c r="C33" s="6" t="s">
        <v>931</v>
      </c>
      <c r="D33" s="6" t="s">
        <v>30</v>
      </c>
      <c r="E33" s="6" t="s">
        <v>37</v>
      </c>
      <c r="F33" s="6">
        <v>2250</v>
      </c>
      <c r="G33" s="6">
        <v>3860</v>
      </c>
      <c r="H33" s="6">
        <v>0</v>
      </c>
      <c r="I33" s="6">
        <v>23</v>
      </c>
      <c r="J33" s="6">
        <v>0</v>
      </c>
      <c r="K33" s="6">
        <v>0</v>
      </c>
      <c r="L33" s="7">
        <v>1</v>
      </c>
      <c r="M33" s="6" t="s">
        <v>965</v>
      </c>
    </row>
    <row r="34" spans="1:13" x14ac:dyDescent="0.25">
      <c r="A34" s="9">
        <v>46186</v>
      </c>
      <c r="B34" s="6" t="s">
        <v>683</v>
      </c>
      <c r="C34" s="6" t="s">
        <v>931</v>
      </c>
      <c r="D34" s="6" t="s">
        <v>30</v>
      </c>
      <c r="E34" s="6" t="s">
        <v>31</v>
      </c>
      <c r="F34" s="6">
        <v>180</v>
      </c>
      <c r="G34" s="6">
        <v>110</v>
      </c>
      <c r="H34" s="6">
        <v>60</v>
      </c>
      <c r="I34" s="6">
        <v>2</v>
      </c>
      <c r="J34" s="6">
        <v>1</v>
      </c>
      <c r="K34" s="6">
        <v>0.5</v>
      </c>
      <c r="L34" s="7">
        <v>0.5</v>
      </c>
      <c r="M34" s="6" t="s">
        <v>966</v>
      </c>
    </row>
    <row r="35" spans="1:13" x14ac:dyDescent="0.25">
      <c r="A35" s="9">
        <v>46186</v>
      </c>
      <c r="B35" s="6" t="s">
        <v>423</v>
      </c>
      <c r="C35" s="6" t="s">
        <v>931</v>
      </c>
      <c r="D35" s="6" t="s">
        <v>30</v>
      </c>
      <c r="E35" s="6" t="s">
        <v>37</v>
      </c>
      <c r="F35" s="6">
        <v>1600</v>
      </c>
      <c r="G35" s="6">
        <v>1520</v>
      </c>
      <c r="H35" s="6">
        <v>80</v>
      </c>
      <c r="I35" s="6">
        <v>40</v>
      </c>
      <c r="J35" s="6">
        <v>2</v>
      </c>
      <c r="K35" s="6">
        <v>0.05</v>
      </c>
      <c r="L35" s="7">
        <v>0.95</v>
      </c>
      <c r="M35" s="6" t="s">
        <v>967</v>
      </c>
    </row>
    <row r="36" spans="1:13" x14ac:dyDescent="0.25">
      <c r="A36" s="9">
        <v>46186</v>
      </c>
      <c r="B36" s="6" t="s">
        <v>539</v>
      </c>
      <c r="C36" s="6" t="s">
        <v>931</v>
      </c>
      <c r="D36" s="6" t="s">
        <v>30</v>
      </c>
      <c r="E36" s="6" t="s">
        <v>108</v>
      </c>
      <c r="F36" s="6">
        <v>700</v>
      </c>
      <c r="G36" s="6">
        <v>660</v>
      </c>
      <c r="H36" s="6">
        <v>40</v>
      </c>
      <c r="I36" s="6">
        <v>18</v>
      </c>
      <c r="J36" s="6">
        <v>1</v>
      </c>
      <c r="K36" s="6">
        <v>5.5555555555555497E-2</v>
      </c>
      <c r="L36" s="7">
        <v>0.94444444444444398</v>
      </c>
      <c r="M36" s="6" t="s">
        <v>968</v>
      </c>
    </row>
    <row r="37" spans="1:13" x14ac:dyDescent="0.25">
      <c r="A37" s="9">
        <v>46186</v>
      </c>
      <c r="B37" s="6" t="s">
        <v>327</v>
      </c>
      <c r="C37" s="6" t="s">
        <v>931</v>
      </c>
      <c r="D37" s="6" t="s">
        <v>30</v>
      </c>
      <c r="E37" s="6" t="s">
        <v>42</v>
      </c>
      <c r="F37" s="6">
        <v>1000</v>
      </c>
      <c r="G37" s="6">
        <v>1020</v>
      </c>
      <c r="H37" s="6">
        <v>0</v>
      </c>
      <c r="I37" s="6">
        <v>16</v>
      </c>
      <c r="J37" s="6">
        <v>0</v>
      </c>
      <c r="K37" s="6">
        <v>0</v>
      </c>
      <c r="L37" s="7">
        <v>1</v>
      </c>
      <c r="M37" s="6" t="s">
        <v>969</v>
      </c>
    </row>
    <row r="38" spans="1:13" x14ac:dyDescent="0.25">
      <c r="A38" s="9">
        <v>46186</v>
      </c>
      <c r="B38" s="6" t="s">
        <v>715</v>
      </c>
      <c r="C38" s="6" t="s">
        <v>931</v>
      </c>
      <c r="D38" s="6" t="s">
        <v>30</v>
      </c>
      <c r="E38" s="6" t="s">
        <v>31</v>
      </c>
      <c r="F38" s="6">
        <v>70</v>
      </c>
      <c r="G38" s="6">
        <v>80</v>
      </c>
      <c r="H38" s="6">
        <v>0</v>
      </c>
      <c r="I38" s="6">
        <v>1</v>
      </c>
      <c r="J38" s="6">
        <v>0</v>
      </c>
      <c r="K38" s="6">
        <v>0</v>
      </c>
      <c r="L38" s="7">
        <v>1</v>
      </c>
      <c r="M38" s="6" t="s">
        <v>970</v>
      </c>
    </row>
    <row r="39" spans="1:13" x14ac:dyDescent="0.25">
      <c r="A39" s="9">
        <v>46186</v>
      </c>
      <c r="B39" s="6" t="s">
        <v>477</v>
      </c>
      <c r="C39" s="6" t="s">
        <v>931</v>
      </c>
      <c r="D39" s="6" t="s">
        <v>30</v>
      </c>
      <c r="E39" s="6" t="s">
        <v>37</v>
      </c>
      <c r="F39" s="6">
        <v>780</v>
      </c>
      <c r="G39" s="6">
        <v>730</v>
      </c>
      <c r="H39" s="6">
        <v>45</v>
      </c>
      <c r="I39" s="6">
        <v>19</v>
      </c>
      <c r="J39" s="6">
        <v>1</v>
      </c>
      <c r="K39" s="6">
        <v>5.2631578947368397E-2</v>
      </c>
      <c r="L39" s="7">
        <v>0.94736842105263097</v>
      </c>
      <c r="M39" s="6" t="s">
        <v>971</v>
      </c>
    </row>
    <row r="40" spans="1:13" x14ac:dyDescent="0.25">
      <c r="A40" s="9">
        <v>46186</v>
      </c>
      <c r="B40" s="6" t="s">
        <v>460</v>
      </c>
      <c r="C40" s="6" t="s">
        <v>931</v>
      </c>
      <c r="D40" s="6" t="s">
        <v>30</v>
      </c>
      <c r="E40" s="6" t="s">
        <v>60</v>
      </c>
      <c r="F40" s="6">
        <v>80</v>
      </c>
      <c r="G40" s="6">
        <v>60</v>
      </c>
      <c r="H40" s="6">
        <v>20</v>
      </c>
      <c r="I40" s="6">
        <v>3</v>
      </c>
      <c r="J40" s="6">
        <v>1</v>
      </c>
      <c r="K40" s="6">
        <v>0.33333333333333298</v>
      </c>
      <c r="L40" s="7">
        <v>0.66666666666666596</v>
      </c>
      <c r="M40" s="6" t="s">
        <v>972</v>
      </c>
    </row>
    <row r="41" spans="1:13" x14ac:dyDescent="0.25">
      <c r="A41" s="9">
        <v>46186</v>
      </c>
      <c r="B41" s="6" t="s">
        <v>235</v>
      </c>
      <c r="C41" s="6" t="s">
        <v>931</v>
      </c>
      <c r="D41" s="6" t="s">
        <v>30</v>
      </c>
      <c r="E41" s="6" t="s">
        <v>37</v>
      </c>
      <c r="F41" s="6">
        <v>130</v>
      </c>
      <c r="G41" s="6">
        <v>110</v>
      </c>
      <c r="H41" s="6">
        <v>20</v>
      </c>
      <c r="I41" s="6">
        <v>3</v>
      </c>
      <c r="J41" s="6">
        <v>1</v>
      </c>
      <c r="K41" s="6">
        <v>0.33333333333333298</v>
      </c>
      <c r="L41" s="7">
        <v>0.66666666666666596</v>
      </c>
      <c r="M41" s="6" t="s">
        <v>973</v>
      </c>
    </row>
    <row r="42" spans="1:13" x14ac:dyDescent="0.25">
      <c r="A42" s="9">
        <v>46186</v>
      </c>
      <c r="B42" s="6" t="s">
        <v>474</v>
      </c>
      <c r="C42" s="6" t="s">
        <v>931</v>
      </c>
      <c r="D42" s="6" t="s">
        <v>30</v>
      </c>
      <c r="E42" s="6" t="s">
        <v>60</v>
      </c>
      <c r="F42" s="6">
        <v>340</v>
      </c>
      <c r="G42" s="6">
        <v>400</v>
      </c>
      <c r="H42" s="6">
        <v>0</v>
      </c>
      <c r="I42" s="6">
        <v>4</v>
      </c>
      <c r="J42" s="6">
        <v>0</v>
      </c>
      <c r="K42" s="6">
        <v>0</v>
      </c>
      <c r="L42" s="7">
        <v>1</v>
      </c>
      <c r="M42" s="6" t="s">
        <v>974</v>
      </c>
    </row>
    <row r="43" spans="1:13" x14ac:dyDescent="0.25">
      <c r="A43" s="9">
        <v>46186</v>
      </c>
      <c r="B43" s="6" t="s">
        <v>255</v>
      </c>
      <c r="C43" s="6" t="s">
        <v>931</v>
      </c>
      <c r="D43" s="6" t="s">
        <v>30</v>
      </c>
      <c r="E43" s="6" t="s">
        <v>31</v>
      </c>
      <c r="F43" s="6">
        <v>660</v>
      </c>
      <c r="G43" s="6">
        <v>460</v>
      </c>
      <c r="H43" s="6">
        <v>180</v>
      </c>
      <c r="I43" s="6">
        <v>16</v>
      </c>
      <c r="J43" s="6">
        <v>4</v>
      </c>
      <c r="K43" s="6">
        <v>0.25</v>
      </c>
      <c r="L43" s="7">
        <v>0.75</v>
      </c>
      <c r="M43" s="6" t="s">
        <v>975</v>
      </c>
    </row>
    <row r="44" spans="1:13" x14ac:dyDescent="0.25">
      <c r="A44" s="9">
        <v>46186</v>
      </c>
      <c r="B44" s="6" t="s">
        <v>79</v>
      </c>
      <c r="C44" s="6" t="s">
        <v>931</v>
      </c>
      <c r="D44" s="6" t="s">
        <v>30</v>
      </c>
      <c r="E44" s="6" t="s">
        <v>31</v>
      </c>
      <c r="F44" s="6">
        <v>420</v>
      </c>
      <c r="G44" s="6">
        <v>420</v>
      </c>
      <c r="H44" s="6">
        <v>0</v>
      </c>
      <c r="I44" s="6">
        <v>13</v>
      </c>
      <c r="J44" s="6">
        <v>0</v>
      </c>
      <c r="K44" s="6">
        <v>0</v>
      </c>
      <c r="L44" s="7">
        <v>1</v>
      </c>
      <c r="M44" s="6" t="s">
        <v>976</v>
      </c>
    </row>
    <row r="45" spans="1:13" x14ac:dyDescent="0.25">
      <c r="A45" s="9">
        <v>46186</v>
      </c>
      <c r="B45" s="6" t="s">
        <v>820</v>
      </c>
      <c r="C45" s="6" t="s">
        <v>931</v>
      </c>
      <c r="D45" s="6" t="s">
        <v>30</v>
      </c>
      <c r="E45" s="6" t="s">
        <v>31</v>
      </c>
      <c r="F45" s="6">
        <v>1740</v>
      </c>
      <c r="G45" s="6">
        <v>1980</v>
      </c>
      <c r="H45" s="6">
        <v>0</v>
      </c>
      <c r="I45" s="6">
        <v>53</v>
      </c>
      <c r="J45" s="6">
        <v>0</v>
      </c>
      <c r="K45" s="6">
        <v>0</v>
      </c>
      <c r="L45" s="7">
        <v>1</v>
      </c>
      <c r="M45" s="6" t="s">
        <v>977</v>
      </c>
    </row>
    <row r="46" spans="1:13" x14ac:dyDescent="0.25">
      <c r="A46" s="9">
        <v>46186</v>
      </c>
      <c r="B46" s="6" t="s">
        <v>732</v>
      </c>
      <c r="C46" s="6" t="s">
        <v>931</v>
      </c>
      <c r="D46" s="6" t="s">
        <v>30</v>
      </c>
      <c r="E46" s="6" t="s">
        <v>42</v>
      </c>
      <c r="F46" s="6">
        <v>280</v>
      </c>
      <c r="G46" s="6">
        <v>270</v>
      </c>
      <c r="H46" s="6">
        <v>0</v>
      </c>
      <c r="I46" s="6">
        <v>7</v>
      </c>
      <c r="J46" s="6">
        <v>0</v>
      </c>
      <c r="K46" s="6">
        <v>0</v>
      </c>
      <c r="L46" s="7">
        <v>1</v>
      </c>
      <c r="M46" s="6" t="s">
        <v>978</v>
      </c>
    </row>
    <row r="47" spans="1:13" x14ac:dyDescent="0.25">
      <c r="A47" s="9">
        <v>46186</v>
      </c>
      <c r="B47" s="6" t="s">
        <v>158</v>
      </c>
      <c r="C47" s="6" t="s">
        <v>931</v>
      </c>
      <c r="D47" s="6" t="s">
        <v>30</v>
      </c>
      <c r="E47" s="6" t="s">
        <v>42</v>
      </c>
      <c r="F47" s="6">
        <v>960</v>
      </c>
      <c r="G47" s="6">
        <v>5650</v>
      </c>
      <c r="H47" s="6">
        <v>0</v>
      </c>
      <c r="I47" s="6">
        <v>48</v>
      </c>
      <c r="J47" s="6">
        <v>0</v>
      </c>
      <c r="K47" s="6">
        <v>0</v>
      </c>
      <c r="L47" s="7">
        <v>1</v>
      </c>
      <c r="M47" s="6" t="s">
        <v>936</v>
      </c>
    </row>
    <row r="48" spans="1:13" x14ac:dyDescent="0.25">
      <c r="A48" s="9">
        <v>46186</v>
      </c>
      <c r="B48" s="6" t="s">
        <v>546</v>
      </c>
      <c r="C48" s="6" t="s">
        <v>931</v>
      </c>
      <c r="D48" s="6" t="s">
        <v>30</v>
      </c>
      <c r="E48" s="6" t="s">
        <v>60</v>
      </c>
      <c r="F48" s="6">
        <v>170</v>
      </c>
      <c r="G48" s="6">
        <v>790</v>
      </c>
      <c r="H48" s="6">
        <v>0</v>
      </c>
      <c r="I48" s="6">
        <v>4</v>
      </c>
      <c r="J48" s="6">
        <v>0</v>
      </c>
      <c r="K48" s="6">
        <v>0</v>
      </c>
      <c r="L48" s="7">
        <v>1</v>
      </c>
      <c r="M48" s="6" t="s">
        <v>979</v>
      </c>
    </row>
    <row r="49" spans="1:13" x14ac:dyDescent="0.25">
      <c r="A49" s="9">
        <v>46186</v>
      </c>
      <c r="B49" s="6" t="s">
        <v>488</v>
      </c>
      <c r="C49" s="6" t="s">
        <v>931</v>
      </c>
      <c r="D49" s="6" t="s">
        <v>30</v>
      </c>
      <c r="E49" s="6" t="s">
        <v>42</v>
      </c>
      <c r="F49" s="6">
        <v>80</v>
      </c>
      <c r="G49" s="6">
        <v>140</v>
      </c>
      <c r="H49" s="6">
        <v>0</v>
      </c>
      <c r="I49" s="6">
        <v>2</v>
      </c>
      <c r="J49" s="6">
        <v>0</v>
      </c>
      <c r="K49" s="6">
        <v>0</v>
      </c>
      <c r="L49" s="7">
        <v>1</v>
      </c>
      <c r="M49" s="6" t="s">
        <v>980</v>
      </c>
    </row>
    <row r="50" spans="1:13" x14ac:dyDescent="0.25">
      <c r="A50" s="9">
        <v>46186</v>
      </c>
      <c r="B50" s="6" t="s">
        <v>367</v>
      </c>
      <c r="C50" s="6" t="s">
        <v>931</v>
      </c>
      <c r="D50" s="6" t="s">
        <v>30</v>
      </c>
      <c r="E50" s="6" t="s">
        <v>42</v>
      </c>
      <c r="F50" s="6">
        <v>2630</v>
      </c>
      <c r="G50" s="6">
        <v>0</v>
      </c>
      <c r="H50" s="6">
        <v>0</v>
      </c>
      <c r="I50" s="6">
        <v>30</v>
      </c>
      <c r="J50" s="6">
        <v>0</v>
      </c>
      <c r="K50" s="6">
        <v>0</v>
      </c>
      <c r="L50" s="7">
        <v>1</v>
      </c>
      <c r="M50" s="6" t="s">
        <v>981</v>
      </c>
    </row>
    <row r="51" spans="1:13" x14ac:dyDescent="0.25">
      <c r="A51" s="9">
        <v>46186</v>
      </c>
      <c r="B51" s="6" t="s">
        <v>757</v>
      </c>
      <c r="C51" s="6" t="s">
        <v>931</v>
      </c>
      <c r="D51" s="6" t="s">
        <v>30</v>
      </c>
      <c r="E51" s="6" t="s">
        <v>31</v>
      </c>
      <c r="F51" s="6">
        <v>880</v>
      </c>
      <c r="G51" s="6">
        <v>1080</v>
      </c>
      <c r="H51" s="6">
        <v>0</v>
      </c>
      <c r="I51" s="6">
        <v>21</v>
      </c>
      <c r="J51" s="6">
        <v>0</v>
      </c>
      <c r="K51" s="6">
        <v>0</v>
      </c>
      <c r="L51" s="7">
        <v>1</v>
      </c>
      <c r="M51" s="6" t="s">
        <v>982</v>
      </c>
    </row>
    <row r="52" spans="1:13" x14ac:dyDescent="0.25">
      <c r="A52" s="9">
        <v>46186</v>
      </c>
      <c r="B52" s="6" t="s">
        <v>485</v>
      </c>
      <c r="C52" s="6" t="s">
        <v>931</v>
      </c>
      <c r="D52" s="6" t="s">
        <v>30</v>
      </c>
      <c r="E52" s="6" t="s">
        <v>31</v>
      </c>
      <c r="F52" s="6">
        <v>1290</v>
      </c>
      <c r="G52" s="6">
        <v>1680</v>
      </c>
      <c r="H52" s="6">
        <v>0</v>
      </c>
      <c r="I52" s="6">
        <v>34</v>
      </c>
      <c r="J52" s="6">
        <v>0</v>
      </c>
      <c r="K52" s="6">
        <v>0</v>
      </c>
      <c r="L52" s="7">
        <v>1</v>
      </c>
      <c r="M52" s="6" t="s">
        <v>983</v>
      </c>
    </row>
    <row r="53" spans="1:13" x14ac:dyDescent="0.25">
      <c r="A53" s="9">
        <v>46186</v>
      </c>
      <c r="B53" s="6" t="s">
        <v>170</v>
      </c>
      <c r="C53" s="6" t="s">
        <v>931</v>
      </c>
      <c r="D53" s="6" t="s">
        <v>30</v>
      </c>
      <c r="E53" s="6" t="s">
        <v>108</v>
      </c>
      <c r="F53" s="6">
        <v>360</v>
      </c>
      <c r="G53" s="6">
        <v>460</v>
      </c>
      <c r="H53" s="6">
        <v>0</v>
      </c>
      <c r="I53" s="6">
        <v>11</v>
      </c>
      <c r="J53" s="6">
        <v>0</v>
      </c>
      <c r="K53" s="6">
        <v>0</v>
      </c>
      <c r="L53" s="7">
        <v>1</v>
      </c>
      <c r="M53" s="6" t="s">
        <v>984</v>
      </c>
    </row>
    <row r="54" spans="1:13" x14ac:dyDescent="0.25">
      <c r="A54" s="9">
        <v>46186</v>
      </c>
      <c r="B54" s="6" t="s">
        <v>122</v>
      </c>
      <c r="C54" s="6" t="s">
        <v>931</v>
      </c>
      <c r="D54" s="6" t="s">
        <v>30</v>
      </c>
      <c r="E54" s="6" t="s">
        <v>60</v>
      </c>
      <c r="F54" s="6">
        <v>900</v>
      </c>
      <c r="G54" s="6">
        <v>419</v>
      </c>
      <c r="H54" s="6">
        <v>0</v>
      </c>
      <c r="I54" s="6">
        <v>6</v>
      </c>
      <c r="J54" s="6">
        <v>0</v>
      </c>
      <c r="K54" s="6">
        <v>0</v>
      </c>
      <c r="L54" s="7">
        <v>1</v>
      </c>
      <c r="M54" s="6" t="s">
        <v>985</v>
      </c>
    </row>
    <row r="55" spans="1:13" x14ac:dyDescent="0.25">
      <c r="A55" s="9">
        <v>46186</v>
      </c>
      <c r="B55" s="6" t="s">
        <v>410</v>
      </c>
      <c r="C55" s="6" t="s">
        <v>931</v>
      </c>
      <c r="D55" s="6" t="s">
        <v>30</v>
      </c>
      <c r="E55" s="6" t="s">
        <v>37</v>
      </c>
      <c r="F55" s="6">
        <v>480</v>
      </c>
      <c r="G55" s="6">
        <v>720</v>
      </c>
      <c r="H55" s="6">
        <v>0</v>
      </c>
      <c r="I55" s="6">
        <v>6</v>
      </c>
      <c r="J55" s="6">
        <v>0</v>
      </c>
      <c r="K55" s="6">
        <v>0</v>
      </c>
      <c r="L55" s="7">
        <v>1</v>
      </c>
      <c r="M55" s="6" t="s">
        <v>986</v>
      </c>
    </row>
    <row r="56" spans="1:13" x14ac:dyDescent="0.25">
      <c r="A56" s="9">
        <v>46186</v>
      </c>
      <c r="B56" s="6" t="s">
        <v>309</v>
      </c>
      <c r="C56" s="6" t="s">
        <v>931</v>
      </c>
      <c r="D56" s="6" t="s">
        <v>30</v>
      </c>
      <c r="E56" s="6" t="s">
        <v>42</v>
      </c>
      <c r="F56" s="6">
        <v>1680</v>
      </c>
      <c r="G56" s="6">
        <v>1630</v>
      </c>
      <c r="H56" s="6">
        <v>40</v>
      </c>
      <c r="I56" s="6">
        <v>26</v>
      </c>
      <c r="J56" s="6">
        <v>2</v>
      </c>
      <c r="K56" s="6">
        <v>7.69230769230769E-2</v>
      </c>
      <c r="L56" s="7">
        <v>0.92307692307692302</v>
      </c>
      <c r="M56" s="6" t="s">
        <v>987</v>
      </c>
    </row>
    <row r="57" spans="1:13" x14ac:dyDescent="0.25">
      <c r="A57" s="9">
        <v>46186</v>
      </c>
      <c r="B57" s="6" t="s">
        <v>562</v>
      </c>
      <c r="C57" s="6" t="s">
        <v>931</v>
      </c>
      <c r="D57" s="6" t="s">
        <v>30</v>
      </c>
      <c r="E57" s="6" t="s">
        <v>60</v>
      </c>
      <c r="F57" s="6">
        <v>200</v>
      </c>
      <c r="G57" s="6">
        <v>180</v>
      </c>
      <c r="H57" s="6">
        <v>0</v>
      </c>
      <c r="I57" s="6">
        <v>5</v>
      </c>
      <c r="J57" s="6">
        <v>0</v>
      </c>
      <c r="K57" s="6">
        <v>0</v>
      </c>
      <c r="L57" s="7">
        <v>1</v>
      </c>
      <c r="M57" s="6" t="s">
        <v>988</v>
      </c>
    </row>
    <row r="58" spans="1:13" x14ac:dyDescent="0.25">
      <c r="A58" s="9">
        <v>46186</v>
      </c>
      <c r="B58" s="6" t="s">
        <v>232</v>
      </c>
      <c r="C58" s="6" t="s">
        <v>931</v>
      </c>
      <c r="D58" s="6" t="s">
        <v>30</v>
      </c>
      <c r="E58" s="6" t="s">
        <v>42</v>
      </c>
      <c r="F58" s="6">
        <v>280</v>
      </c>
      <c r="G58" s="6">
        <v>300</v>
      </c>
      <c r="H58" s="6">
        <v>0</v>
      </c>
      <c r="I58" s="6">
        <v>7</v>
      </c>
      <c r="J58" s="6">
        <v>0</v>
      </c>
      <c r="K58" s="6">
        <v>0</v>
      </c>
      <c r="L58" s="7">
        <v>1</v>
      </c>
      <c r="M58" s="6" t="s">
        <v>989</v>
      </c>
    </row>
    <row r="59" spans="1:13" x14ac:dyDescent="0.25">
      <c r="A59" s="9">
        <v>46186</v>
      </c>
      <c r="B59" s="6" t="s">
        <v>612</v>
      </c>
      <c r="C59" s="6" t="s">
        <v>931</v>
      </c>
      <c r="D59" s="6" t="s">
        <v>30</v>
      </c>
      <c r="E59" s="6" t="s">
        <v>31</v>
      </c>
      <c r="F59" s="6">
        <v>360</v>
      </c>
      <c r="G59" s="6">
        <v>650</v>
      </c>
      <c r="H59" s="6">
        <v>0</v>
      </c>
      <c r="I59" s="6">
        <v>14</v>
      </c>
      <c r="J59" s="6">
        <v>0</v>
      </c>
      <c r="K59" s="6">
        <v>0</v>
      </c>
      <c r="L59" s="7">
        <v>1</v>
      </c>
      <c r="M59" s="6" t="s">
        <v>990</v>
      </c>
    </row>
    <row r="60" spans="1:13" x14ac:dyDescent="0.25">
      <c r="A60" s="9">
        <v>46186</v>
      </c>
      <c r="B60" s="6" t="s">
        <v>793</v>
      </c>
      <c r="C60" s="6" t="s">
        <v>931</v>
      </c>
      <c r="D60" s="6" t="s">
        <v>30</v>
      </c>
      <c r="E60" s="6" t="s">
        <v>31</v>
      </c>
      <c r="F60" s="6">
        <v>770</v>
      </c>
      <c r="G60" s="6">
        <v>820</v>
      </c>
      <c r="H60" s="6">
        <v>0</v>
      </c>
      <c r="I60" s="6">
        <v>21</v>
      </c>
      <c r="J60" s="6">
        <v>0</v>
      </c>
      <c r="K60" s="6">
        <v>0</v>
      </c>
      <c r="L60" s="7">
        <v>1</v>
      </c>
      <c r="M60" s="6" t="s">
        <v>991</v>
      </c>
    </row>
    <row r="61" spans="1:13" x14ac:dyDescent="0.25">
      <c r="A61" s="9">
        <v>46186</v>
      </c>
      <c r="B61" s="6" t="s">
        <v>593</v>
      </c>
      <c r="C61" s="6" t="s">
        <v>931</v>
      </c>
      <c r="D61" s="6" t="s">
        <v>30</v>
      </c>
      <c r="E61" s="6" t="s">
        <v>60</v>
      </c>
      <c r="F61" s="6">
        <v>20</v>
      </c>
      <c r="G61" s="6">
        <v>30</v>
      </c>
      <c r="H61" s="6">
        <v>0</v>
      </c>
      <c r="I61" s="6">
        <v>1</v>
      </c>
      <c r="J61" s="6">
        <v>0</v>
      </c>
      <c r="K61" s="6">
        <v>0</v>
      </c>
      <c r="L61" s="7">
        <v>1</v>
      </c>
      <c r="M61" s="6" t="s">
        <v>992</v>
      </c>
    </row>
    <row r="62" spans="1:13" x14ac:dyDescent="0.25">
      <c r="A62" s="9">
        <v>46186</v>
      </c>
      <c r="B62" s="6" t="s">
        <v>112</v>
      </c>
      <c r="C62" s="6" t="s">
        <v>931</v>
      </c>
      <c r="D62" s="6" t="s">
        <v>30</v>
      </c>
      <c r="E62" s="6" t="s">
        <v>60</v>
      </c>
      <c r="F62" s="6">
        <v>970</v>
      </c>
      <c r="G62" s="6">
        <v>1210</v>
      </c>
      <c r="H62" s="6">
        <v>0</v>
      </c>
      <c r="I62" s="6">
        <v>12</v>
      </c>
      <c r="J62" s="6">
        <v>0</v>
      </c>
      <c r="K62" s="6">
        <v>0</v>
      </c>
      <c r="L62" s="7">
        <v>1</v>
      </c>
      <c r="M62" s="6" t="s">
        <v>993</v>
      </c>
    </row>
    <row r="63" spans="1:13" x14ac:dyDescent="0.25">
      <c r="A63" s="9">
        <v>46186</v>
      </c>
      <c r="B63" s="6" t="s">
        <v>363</v>
      </c>
      <c r="C63" s="6" t="s">
        <v>931</v>
      </c>
      <c r="D63" s="6" t="s">
        <v>30</v>
      </c>
      <c r="E63" s="6" t="s">
        <v>31</v>
      </c>
      <c r="F63" s="6">
        <v>470</v>
      </c>
      <c r="G63" s="6">
        <v>270</v>
      </c>
      <c r="H63" s="6">
        <v>190</v>
      </c>
      <c r="I63" s="6">
        <v>11</v>
      </c>
      <c r="J63" s="6">
        <v>4</v>
      </c>
      <c r="K63" s="6">
        <v>0.36363636363636298</v>
      </c>
      <c r="L63" s="7">
        <v>0.63636363636363602</v>
      </c>
      <c r="M63" s="6" t="s">
        <v>994</v>
      </c>
    </row>
    <row r="64" spans="1:13" x14ac:dyDescent="0.25">
      <c r="A64" s="9">
        <v>46186</v>
      </c>
      <c r="B64" s="6" t="s">
        <v>705</v>
      </c>
      <c r="C64" s="6" t="s">
        <v>931</v>
      </c>
      <c r="D64" s="6" t="s">
        <v>30</v>
      </c>
      <c r="E64" s="6" t="s">
        <v>37</v>
      </c>
      <c r="F64" s="6">
        <v>620</v>
      </c>
      <c r="G64" s="6">
        <v>920</v>
      </c>
      <c r="H64" s="6">
        <v>0</v>
      </c>
      <c r="I64" s="6">
        <v>31</v>
      </c>
      <c r="J64" s="6">
        <v>0</v>
      </c>
      <c r="K64" s="6">
        <v>0</v>
      </c>
      <c r="L64" s="7">
        <v>1</v>
      </c>
      <c r="M64" s="6" t="s">
        <v>995</v>
      </c>
    </row>
    <row r="65" spans="1:13" x14ac:dyDescent="0.25">
      <c r="A65" s="9">
        <v>46186</v>
      </c>
      <c r="B65" s="6" t="s">
        <v>536</v>
      </c>
      <c r="C65" s="6" t="s">
        <v>931</v>
      </c>
      <c r="D65" s="6" t="s">
        <v>30</v>
      </c>
      <c r="E65" s="6" t="s">
        <v>60</v>
      </c>
      <c r="F65" s="6">
        <v>1570</v>
      </c>
      <c r="G65" s="6">
        <v>2020</v>
      </c>
      <c r="H65" s="6">
        <v>0</v>
      </c>
      <c r="I65" s="6">
        <v>29</v>
      </c>
      <c r="J65" s="6">
        <v>0</v>
      </c>
      <c r="K65" s="6">
        <v>0</v>
      </c>
      <c r="L65" s="7">
        <v>1</v>
      </c>
      <c r="M65" s="6" t="s">
        <v>996</v>
      </c>
    </row>
    <row r="66" spans="1:13" x14ac:dyDescent="0.25">
      <c r="A66" s="9">
        <v>46186</v>
      </c>
      <c r="B66" s="6" t="s">
        <v>413</v>
      </c>
      <c r="C66" s="6" t="s">
        <v>931</v>
      </c>
      <c r="D66" s="6" t="s">
        <v>30</v>
      </c>
      <c r="E66" s="6" t="s">
        <v>60</v>
      </c>
      <c r="F66" s="6">
        <v>270</v>
      </c>
      <c r="G66" s="6">
        <v>280</v>
      </c>
      <c r="H66" s="6">
        <v>0</v>
      </c>
      <c r="I66" s="6">
        <v>3</v>
      </c>
      <c r="J66" s="6">
        <v>0</v>
      </c>
      <c r="K66" s="6">
        <v>0</v>
      </c>
      <c r="L66" s="7">
        <v>1</v>
      </c>
      <c r="M66" s="6" t="s">
        <v>997</v>
      </c>
    </row>
    <row r="67" spans="1:13" x14ac:dyDescent="0.25">
      <c r="A67" s="9">
        <v>46186</v>
      </c>
      <c r="B67" s="6" t="s">
        <v>583</v>
      </c>
      <c r="C67" s="6" t="s">
        <v>931</v>
      </c>
      <c r="D67" s="6" t="s">
        <v>30</v>
      </c>
      <c r="E67" s="6" t="s">
        <v>42</v>
      </c>
      <c r="F67" s="6">
        <v>870</v>
      </c>
      <c r="G67" s="6">
        <v>790</v>
      </c>
      <c r="H67" s="6">
        <v>80</v>
      </c>
      <c r="I67" s="6">
        <v>12</v>
      </c>
      <c r="J67" s="6">
        <v>2</v>
      </c>
      <c r="K67" s="6">
        <v>0.16666666666666599</v>
      </c>
      <c r="L67" s="7">
        <v>0.83333333333333304</v>
      </c>
      <c r="M67" s="6" t="s">
        <v>998</v>
      </c>
    </row>
    <row r="68" spans="1:13" x14ac:dyDescent="0.25">
      <c r="A68" s="9">
        <v>46186</v>
      </c>
      <c r="B68" s="6" t="s">
        <v>542</v>
      </c>
      <c r="C68" s="6" t="s">
        <v>931</v>
      </c>
      <c r="D68" s="6" t="s">
        <v>30</v>
      </c>
      <c r="E68" s="6" t="s">
        <v>42</v>
      </c>
      <c r="F68" s="6">
        <v>700</v>
      </c>
      <c r="G68" s="6">
        <v>650</v>
      </c>
      <c r="H68" s="6">
        <v>40</v>
      </c>
      <c r="I68" s="6">
        <v>20</v>
      </c>
      <c r="J68" s="6">
        <v>1</v>
      </c>
      <c r="K68" s="6">
        <v>0.05</v>
      </c>
      <c r="L68" s="7">
        <v>0.95</v>
      </c>
      <c r="M68" s="6" t="s">
        <v>999</v>
      </c>
    </row>
    <row r="69" spans="1:13" x14ac:dyDescent="0.25">
      <c r="A69" s="9">
        <v>46186</v>
      </c>
      <c r="B69" s="6" t="s">
        <v>200</v>
      </c>
      <c r="C69" s="6" t="s">
        <v>931</v>
      </c>
      <c r="D69" s="6" t="s">
        <v>30</v>
      </c>
      <c r="E69" s="6" t="s">
        <v>42</v>
      </c>
      <c r="F69" s="6">
        <v>180</v>
      </c>
      <c r="G69" s="6">
        <v>220</v>
      </c>
      <c r="H69" s="6">
        <v>0</v>
      </c>
      <c r="I69" s="6">
        <v>9</v>
      </c>
      <c r="J69" s="6">
        <v>0</v>
      </c>
      <c r="K69" s="6">
        <v>0</v>
      </c>
      <c r="L69" s="7">
        <v>1</v>
      </c>
      <c r="M69" s="6" t="s">
        <v>1000</v>
      </c>
    </row>
    <row r="70" spans="1:13" x14ac:dyDescent="0.25">
      <c r="A70" s="9">
        <v>46186</v>
      </c>
      <c r="B70" s="6" t="s">
        <v>645</v>
      </c>
      <c r="C70" s="6" t="s">
        <v>931</v>
      </c>
      <c r="D70" s="6" t="s">
        <v>30</v>
      </c>
      <c r="E70" s="6" t="s">
        <v>42</v>
      </c>
      <c r="F70" s="6">
        <v>320</v>
      </c>
      <c r="G70" s="6">
        <v>430</v>
      </c>
      <c r="H70" s="6">
        <v>0</v>
      </c>
      <c r="I70" s="6">
        <v>8</v>
      </c>
      <c r="J70" s="6">
        <v>0</v>
      </c>
      <c r="K70" s="6">
        <v>0</v>
      </c>
      <c r="L70" s="7">
        <v>1</v>
      </c>
      <c r="M70" s="6" t="s">
        <v>1001</v>
      </c>
    </row>
    <row r="71" spans="1:13" x14ac:dyDescent="0.25">
      <c r="A71" s="9">
        <v>46186</v>
      </c>
      <c r="B71" s="6" t="s">
        <v>426</v>
      </c>
      <c r="C71" s="6" t="s">
        <v>931</v>
      </c>
      <c r="D71" s="6" t="s">
        <v>30</v>
      </c>
      <c r="E71" s="6" t="s">
        <v>42</v>
      </c>
      <c r="F71" s="6">
        <v>820</v>
      </c>
      <c r="G71" s="6">
        <v>790</v>
      </c>
      <c r="H71" s="6">
        <v>20</v>
      </c>
      <c r="I71" s="6">
        <v>21</v>
      </c>
      <c r="J71" s="6">
        <v>1</v>
      </c>
      <c r="K71" s="6">
        <v>4.7619047619047603E-2</v>
      </c>
      <c r="L71" s="7">
        <v>0.952380952380952</v>
      </c>
      <c r="M71" s="6" t="s">
        <v>1002</v>
      </c>
    </row>
    <row r="72" spans="1:13" x14ac:dyDescent="0.25">
      <c r="A72" s="9">
        <v>46186</v>
      </c>
      <c r="B72" s="6" t="s">
        <v>661</v>
      </c>
      <c r="C72" s="6" t="s">
        <v>931</v>
      </c>
      <c r="D72" s="6" t="s">
        <v>30</v>
      </c>
      <c r="E72" s="6" t="s">
        <v>42</v>
      </c>
      <c r="F72" s="6">
        <v>680</v>
      </c>
      <c r="G72" s="6">
        <v>750</v>
      </c>
      <c r="H72" s="6">
        <v>0</v>
      </c>
      <c r="I72" s="6">
        <v>13</v>
      </c>
      <c r="J72" s="6">
        <v>0</v>
      </c>
      <c r="K72" s="6">
        <v>0</v>
      </c>
      <c r="L72" s="7">
        <v>1</v>
      </c>
      <c r="M72" s="6" t="s">
        <v>1003</v>
      </c>
    </row>
    <row r="73" spans="1:13" x14ac:dyDescent="0.25">
      <c r="A73" s="9">
        <v>46186</v>
      </c>
      <c r="B73" s="6" t="s">
        <v>606</v>
      </c>
      <c r="C73" s="6" t="s">
        <v>931</v>
      </c>
      <c r="D73" s="6" t="s">
        <v>30</v>
      </c>
      <c r="E73" s="6" t="s">
        <v>42</v>
      </c>
      <c r="F73" s="6">
        <v>840</v>
      </c>
      <c r="G73" s="6">
        <v>1350</v>
      </c>
      <c r="H73" s="6">
        <v>0</v>
      </c>
      <c r="I73" s="6">
        <v>23</v>
      </c>
      <c r="J73" s="6">
        <v>0</v>
      </c>
      <c r="K73" s="6">
        <v>0</v>
      </c>
      <c r="L73" s="7">
        <v>1</v>
      </c>
      <c r="M73" s="6" t="s">
        <v>1004</v>
      </c>
    </row>
    <row r="74" spans="1:13" x14ac:dyDescent="0.25">
      <c r="A74" s="9">
        <v>46186</v>
      </c>
      <c r="B74" s="6" t="s">
        <v>429</v>
      </c>
      <c r="C74" s="6" t="s">
        <v>931</v>
      </c>
      <c r="D74" s="6" t="s">
        <v>30</v>
      </c>
      <c r="E74" s="6" t="s">
        <v>108</v>
      </c>
      <c r="F74" s="6">
        <v>580</v>
      </c>
      <c r="G74" s="6">
        <v>640</v>
      </c>
      <c r="H74" s="6">
        <v>0</v>
      </c>
      <c r="I74" s="6">
        <v>17</v>
      </c>
      <c r="J74" s="6">
        <v>0</v>
      </c>
      <c r="K74" s="6">
        <v>0</v>
      </c>
      <c r="L74" s="7">
        <v>1</v>
      </c>
      <c r="M74" s="6" t="s">
        <v>1005</v>
      </c>
    </row>
    <row r="75" spans="1:13" x14ac:dyDescent="0.25">
      <c r="A75" s="9">
        <v>46186</v>
      </c>
      <c r="B75" s="6" t="s">
        <v>690</v>
      </c>
      <c r="C75" s="6" t="s">
        <v>931</v>
      </c>
      <c r="D75" s="6" t="s">
        <v>30</v>
      </c>
      <c r="E75" s="6" t="s">
        <v>31</v>
      </c>
      <c r="F75" s="6">
        <v>240</v>
      </c>
      <c r="G75" s="6">
        <v>250</v>
      </c>
      <c r="H75" s="6">
        <v>0</v>
      </c>
      <c r="I75" s="6">
        <v>6</v>
      </c>
      <c r="J75" s="6">
        <v>0</v>
      </c>
      <c r="K75" s="6">
        <v>0</v>
      </c>
      <c r="L75" s="7">
        <v>1</v>
      </c>
      <c r="M75" s="6" t="s">
        <v>1006</v>
      </c>
    </row>
    <row r="76" spans="1:13" x14ac:dyDescent="0.25">
      <c r="A76" s="9">
        <v>46186</v>
      </c>
      <c r="B76" s="6" t="s">
        <v>658</v>
      </c>
      <c r="C76" s="6" t="s">
        <v>931</v>
      </c>
      <c r="D76" s="6" t="s">
        <v>30</v>
      </c>
      <c r="E76" s="6" t="s">
        <v>31</v>
      </c>
      <c r="F76" s="6">
        <v>140</v>
      </c>
      <c r="G76" s="6">
        <v>200</v>
      </c>
      <c r="H76" s="6">
        <v>0</v>
      </c>
      <c r="I76" s="6">
        <v>7</v>
      </c>
      <c r="J76" s="6">
        <v>0</v>
      </c>
      <c r="K76" s="6">
        <v>0</v>
      </c>
      <c r="L76" s="7">
        <v>1</v>
      </c>
      <c r="M76" s="6" t="s">
        <v>1007</v>
      </c>
    </row>
    <row r="77" spans="1:13" x14ac:dyDescent="0.25">
      <c r="A77" s="9">
        <v>46186</v>
      </c>
      <c r="B77" s="6" t="s">
        <v>648</v>
      </c>
      <c r="C77" s="6" t="s">
        <v>931</v>
      </c>
      <c r="D77" s="6" t="s">
        <v>30</v>
      </c>
      <c r="E77" s="6" t="s">
        <v>108</v>
      </c>
      <c r="F77" s="6">
        <v>1800</v>
      </c>
      <c r="G77" s="6">
        <v>0</v>
      </c>
      <c r="H77" s="6">
        <v>0</v>
      </c>
      <c r="I77" s="6">
        <v>17</v>
      </c>
      <c r="J77" s="6">
        <v>0</v>
      </c>
      <c r="K77" s="6">
        <v>0</v>
      </c>
      <c r="L77" s="7">
        <v>1</v>
      </c>
      <c r="M77" s="6" t="s">
        <v>1008</v>
      </c>
    </row>
    <row r="78" spans="1:13" x14ac:dyDescent="0.25">
      <c r="A78" s="9">
        <v>46186</v>
      </c>
      <c r="B78" s="6" t="s">
        <v>323</v>
      </c>
      <c r="C78" s="6" t="s">
        <v>931</v>
      </c>
      <c r="D78" s="6" t="s">
        <v>30</v>
      </c>
      <c r="E78" s="6" t="s">
        <v>60</v>
      </c>
      <c r="F78" s="6">
        <v>720</v>
      </c>
      <c r="G78" s="6">
        <v>950</v>
      </c>
      <c r="H78" s="6">
        <v>0</v>
      </c>
      <c r="I78" s="6">
        <v>7</v>
      </c>
      <c r="J78" s="6">
        <v>0</v>
      </c>
      <c r="K78" s="6">
        <v>0</v>
      </c>
      <c r="L78" s="7">
        <v>1</v>
      </c>
      <c r="M78" s="6" t="s">
        <v>1009</v>
      </c>
    </row>
    <row r="79" spans="1:13" x14ac:dyDescent="0.25">
      <c r="A79" s="9">
        <v>46186</v>
      </c>
      <c r="B79" s="6" t="s">
        <v>273</v>
      </c>
      <c r="C79" s="6" t="s">
        <v>931</v>
      </c>
      <c r="D79" s="6" t="s">
        <v>30</v>
      </c>
      <c r="E79" s="6" t="s">
        <v>42</v>
      </c>
      <c r="F79" s="6">
        <v>880</v>
      </c>
      <c r="G79" s="6">
        <v>970</v>
      </c>
      <c r="H79" s="6">
        <v>0</v>
      </c>
      <c r="I79" s="6">
        <v>18</v>
      </c>
      <c r="J79" s="6">
        <v>0</v>
      </c>
      <c r="K79" s="6">
        <v>0</v>
      </c>
      <c r="L79" s="7">
        <v>1</v>
      </c>
      <c r="M79" s="6" t="s">
        <v>1010</v>
      </c>
    </row>
    <row r="80" spans="1:13" x14ac:dyDescent="0.25">
      <c r="A80" s="9">
        <v>46186</v>
      </c>
      <c r="B80" s="6" t="s">
        <v>131</v>
      </c>
      <c r="C80" s="6" t="s">
        <v>931</v>
      </c>
      <c r="D80" s="6" t="s">
        <v>30</v>
      </c>
      <c r="E80" s="6" t="s">
        <v>31</v>
      </c>
      <c r="F80" s="6">
        <v>710</v>
      </c>
      <c r="G80" s="6">
        <v>810</v>
      </c>
      <c r="H80" s="6">
        <v>0</v>
      </c>
      <c r="I80" s="6">
        <v>20</v>
      </c>
      <c r="J80" s="6">
        <v>0</v>
      </c>
      <c r="K80" s="6">
        <v>0</v>
      </c>
      <c r="L80" s="7">
        <v>1</v>
      </c>
      <c r="M80" s="6" t="s">
        <v>1011</v>
      </c>
    </row>
    <row r="81" spans="1:13" x14ac:dyDescent="0.25">
      <c r="A81" s="9">
        <v>46186</v>
      </c>
      <c r="B81" s="6" t="s">
        <v>664</v>
      </c>
      <c r="C81" s="6" t="s">
        <v>931</v>
      </c>
      <c r="D81" s="6" t="s">
        <v>30</v>
      </c>
      <c r="E81" s="6" t="s">
        <v>42</v>
      </c>
      <c r="F81" s="6">
        <v>1160</v>
      </c>
      <c r="G81" s="6">
        <v>1180</v>
      </c>
      <c r="H81" s="6">
        <v>0</v>
      </c>
      <c r="I81" s="6">
        <v>26</v>
      </c>
      <c r="J81" s="6">
        <v>0</v>
      </c>
      <c r="K81" s="6">
        <v>0</v>
      </c>
      <c r="L81" s="7">
        <v>1</v>
      </c>
      <c r="M81" s="6" t="s">
        <v>1012</v>
      </c>
    </row>
    <row r="82" spans="1:13" x14ac:dyDescent="0.25">
      <c r="A82" s="9">
        <v>46186</v>
      </c>
      <c r="B82" s="6" t="s">
        <v>504</v>
      </c>
      <c r="C82" s="6" t="s">
        <v>931</v>
      </c>
      <c r="D82" s="6" t="s">
        <v>30</v>
      </c>
      <c r="E82" s="6" t="s">
        <v>108</v>
      </c>
      <c r="F82" s="6">
        <v>120</v>
      </c>
      <c r="G82" s="6">
        <v>140</v>
      </c>
      <c r="H82" s="6">
        <v>0</v>
      </c>
      <c r="I82" s="6">
        <v>3</v>
      </c>
      <c r="J82" s="6">
        <v>0</v>
      </c>
      <c r="K82" s="6">
        <v>0</v>
      </c>
      <c r="L82" s="7">
        <v>1</v>
      </c>
      <c r="M82" s="6" t="s">
        <v>1013</v>
      </c>
    </row>
    <row r="83" spans="1:13" x14ac:dyDescent="0.25">
      <c r="A83" s="9">
        <v>46186</v>
      </c>
      <c r="B83" s="6" t="s">
        <v>667</v>
      </c>
      <c r="C83" s="6" t="s">
        <v>931</v>
      </c>
      <c r="D83" s="6" t="s">
        <v>30</v>
      </c>
      <c r="E83" s="6" t="s">
        <v>31</v>
      </c>
      <c r="F83" s="6">
        <v>620</v>
      </c>
      <c r="G83" s="6">
        <v>1280</v>
      </c>
      <c r="H83" s="6">
        <v>0</v>
      </c>
      <c r="I83" s="6">
        <v>23</v>
      </c>
      <c r="J83" s="6">
        <v>0</v>
      </c>
      <c r="K83" s="6">
        <v>0</v>
      </c>
      <c r="L83" s="7">
        <v>1</v>
      </c>
      <c r="M83" s="6" t="s">
        <v>1014</v>
      </c>
    </row>
    <row r="84" spans="1:13" x14ac:dyDescent="0.25">
      <c r="A84" s="9">
        <v>46186</v>
      </c>
      <c r="B84" s="6" t="s">
        <v>378</v>
      </c>
      <c r="C84" s="6" t="s">
        <v>931</v>
      </c>
      <c r="D84" s="6" t="s">
        <v>30</v>
      </c>
      <c r="E84" s="6" t="s">
        <v>31</v>
      </c>
      <c r="F84" s="6">
        <v>600</v>
      </c>
      <c r="G84" s="6">
        <v>670</v>
      </c>
      <c r="H84" s="6">
        <v>0</v>
      </c>
      <c r="I84" s="6">
        <v>14</v>
      </c>
      <c r="J84" s="6">
        <v>0</v>
      </c>
      <c r="K84" s="6">
        <v>0</v>
      </c>
      <c r="L84" s="7">
        <v>1</v>
      </c>
      <c r="M84" s="6" t="s">
        <v>1015</v>
      </c>
    </row>
    <row r="85" spans="1:13" x14ac:dyDescent="0.25">
      <c r="A85" s="9">
        <v>46186</v>
      </c>
      <c r="B85" s="6" t="s">
        <v>291</v>
      </c>
      <c r="C85" s="6" t="s">
        <v>931</v>
      </c>
      <c r="D85" s="6" t="s">
        <v>30</v>
      </c>
      <c r="E85" s="6" t="s">
        <v>42</v>
      </c>
      <c r="F85" s="6">
        <v>600</v>
      </c>
      <c r="G85" s="6">
        <v>440</v>
      </c>
      <c r="H85" s="6">
        <v>160</v>
      </c>
      <c r="I85" s="6">
        <v>15</v>
      </c>
      <c r="J85" s="6">
        <v>4</v>
      </c>
      <c r="K85" s="6">
        <v>0.266666666666666</v>
      </c>
      <c r="L85" s="7">
        <v>0.73333333333333295</v>
      </c>
      <c r="M85" s="6" t="s">
        <v>1016</v>
      </c>
    </row>
    <row r="86" spans="1:13" x14ac:dyDescent="0.25">
      <c r="A86" s="9">
        <v>46186</v>
      </c>
      <c r="B86" s="6" t="s">
        <v>217</v>
      </c>
      <c r="C86" s="6" t="s">
        <v>931</v>
      </c>
      <c r="D86" s="6" t="s">
        <v>30</v>
      </c>
      <c r="E86" s="6" t="s">
        <v>60</v>
      </c>
      <c r="F86" s="6">
        <v>570</v>
      </c>
      <c r="G86" s="6">
        <v>350</v>
      </c>
      <c r="H86" s="6">
        <v>210</v>
      </c>
      <c r="I86" s="6">
        <v>6</v>
      </c>
      <c r="J86" s="6">
        <v>2</v>
      </c>
      <c r="K86" s="6">
        <v>0.33333333333333298</v>
      </c>
      <c r="L86" s="7">
        <v>0.66666666666666596</v>
      </c>
      <c r="M86" s="6" t="s">
        <v>1017</v>
      </c>
    </row>
    <row r="87" spans="1:13" x14ac:dyDescent="0.25">
      <c r="A87" s="9">
        <v>46186</v>
      </c>
      <c r="B87" s="6" t="s">
        <v>397</v>
      </c>
      <c r="C87" s="6" t="s">
        <v>931</v>
      </c>
      <c r="D87" s="6" t="s">
        <v>30</v>
      </c>
      <c r="E87" s="6" t="s">
        <v>31</v>
      </c>
      <c r="F87" s="6">
        <v>230</v>
      </c>
      <c r="G87" s="6">
        <v>230</v>
      </c>
      <c r="H87" s="6">
        <v>0</v>
      </c>
      <c r="I87" s="6">
        <v>5</v>
      </c>
      <c r="J87" s="6">
        <v>0</v>
      </c>
      <c r="K87" s="6">
        <v>0</v>
      </c>
      <c r="L87" s="7">
        <v>1</v>
      </c>
      <c r="M87" s="6" t="s">
        <v>1018</v>
      </c>
    </row>
    <row r="88" spans="1:13" x14ac:dyDescent="0.25">
      <c r="A88" s="9">
        <v>46186</v>
      </c>
      <c r="B88" s="6" t="s">
        <v>586</v>
      </c>
      <c r="C88" s="6" t="s">
        <v>931</v>
      </c>
      <c r="D88" s="6" t="s">
        <v>30</v>
      </c>
      <c r="E88" s="6" t="s">
        <v>42</v>
      </c>
      <c r="F88" s="6">
        <v>280</v>
      </c>
      <c r="G88" s="6">
        <v>260</v>
      </c>
      <c r="H88" s="6">
        <v>0</v>
      </c>
      <c r="I88" s="6">
        <v>4</v>
      </c>
      <c r="J88" s="6">
        <v>0</v>
      </c>
      <c r="K88" s="6">
        <v>0</v>
      </c>
      <c r="L88" s="7">
        <v>1</v>
      </c>
      <c r="M88" s="6" t="s">
        <v>1019</v>
      </c>
    </row>
    <row r="89" spans="1:13" x14ac:dyDescent="0.25">
      <c r="A89" s="9">
        <v>46186</v>
      </c>
      <c r="B89" s="6" t="s">
        <v>75</v>
      </c>
      <c r="C89" s="6" t="s">
        <v>931</v>
      </c>
      <c r="D89" s="6" t="s">
        <v>30</v>
      </c>
      <c r="E89" s="6" t="s">
        <v>31</v>
      </c>
      <c r="F89" s="6">
        <v>940</v>
      </c>
      <c r="G89" s="6">
        <v>1330</v>
      </c>
      <c r="H89" s="6">
        <v>0</v>
      </c>
      <c r="I89" s="6">
        <v>37</v>
      </c>
      <c r="J89" s="6">
        <v>0</v>
      </c>
      <c r="K89" s="6">
        <v>0</v>
      </c>
      <c r="L89" s="7">
        <v>1</v>
      </c>
      <c r="M89" s="6" t="s">
        <v>1020</v>
      </c>
    </row>
    <row r="90" spans="1:13" x14ac:dyDescent="0.25">
      <c r="A90" s="9">
        <v>46186</v>
      </c>
      <c r="B90" s="6" t="s">
        <v>391</v>
      </c>
      <c r="C90" s="6" t="s">
        <v>931</v>
      </c>
      <c r="D90" s="6" t="s">
        <v>30</v>
      </c>
      <c r="E90" s="6" t="s">
        <v>42</v>
      </c>
      <c r="F90" s="6">
        <v>520</v>
      </c>
      <c r="G90" s="6">
        <v>550</v>
      </c>
      <c r="H90" s="6">
        <v>0</v>
      </c>
      <c r="I90" s="6">
        <v>7</v>
      </c>
      <c r="J90" s="6">
        <v>0</v>
      </c>
      <c r="K90" s="6">
        <v>0</v>
      </c>
      <c r="L90" s="7">
        <v>1</v>
      </c>
      <c r="M90" s="6" t="s">
        <v>1021</v>
      </c>
    </row>
    <row r="91" spans="1:13" x14ac:dyDescent="0.25">
      <c r="A91" s="9">
        <v>46186</v>
      </c>
      <c r="B91" s="6" t="s">
        <v>348</v>
      </c>
      <c r="C91" s="6" t="s">
        <v>931</v>
      </c>
      <c r="D91" s="6" t="s">
        <v>30</v>
      </c>
      <c r="E91" s="6" t="s">
        <v>31</v>
      </c>
      <c r="F91" s="6">
        <v>100</v>
      </c>
      <c r="G91" s="6">
        <v>90</v>
      </c>
      <c r="H91" s="6">
        <v>0</v>
      </c>
      <c r="I91" s="6">
        <v>4</v>
      </c>
      <c r="J91" s="6">
        <v>0</v>
      </c>
      <c r="K91" s="6">
        <v>0</v>
      </c>
      <c r="L91" s="7">
        <v>1</v>
      </c>
      <c r="M91" s="6" t="s">
        <v>1022</v>
      </c>
    </row>
    <row r="92" spans="1:13" x14ac:dyDescent="0.25">
      <c r="A92" s="9">
        <v>46186</v>
      </c>
      <c r="B92" s="6" t="s">
        <v>135</v>
      </c>
      <c r="C92" s="6" t="s">
        <v>931</v>
      </c>
      <c r="D92" s="6" t="s">
        <v>30</v>
      </c>
      <c r="E92" s="6" t="s">
        <v>31</v>
      </c>
      <c r="F92" s="6">
        <v>540</v>
      </c>
      <c r="G92" s="6">
        <v>670</v>
      </c>
      <c r="H92" s="6">
        <v>0</v>
      </c>
      <c r="I92" s="6">
        <v>23</v>
      </c>
      <c r="J92" s="6">
        <v>0</v>
      </c>
      <c r="K92" s="6">
        <v>0</v>
      </c>
      <c r="L92" s="7">
        <v>1</v>
      </c>
      <c r="M92" s="6" t="s">
        <v>1023</v>
      </c>
    </row>
    <row r="93" spans="1:13" x14ac:dyDescent="0.25">
      <c r="A93" s="9">
        <v>46186</v>
      </c>
      <c r="B93" s="6" t="s">
        <v>799</v>
      </c>
      <c r="C93" s="6" t="s">
        <v>931</v>
      </c>
      <c r="D93" s="6" t="s">
        <v>30</v>
      </c>
      <c r="E93" s="6" t="s">
        <v>31</v>
      </c>
      <c r="F93" s="6">
        <v>280</v>
      </c>
      <c r="G93" s="6">
        <v>290</v>
      </c>
      <c r="H93" s="6">
        <v>0</v>
      </c>
      <c r="I93" s="6">
        <v>14</v>
      </c>
      <c r="J93" s="6">
        <v>0</v>
      </c>
      <c r="K93" s="6">
        <v>0</v>
      </c>
      <c r="L93" s="7">
        <v>1</v>
      </c>
      <c r="M93" s="6" t="s">
        <v>1024</v>
      </c>
    </row>
    <row r="94" spans="1:13" x14ac:dyDescent="0.25">
      <c r="A94" s="9">
        <v>46186</v>
      </c>
      <c r="B94" s="6" t="s">
        <v>316</v>
      </c>
      <c r="C94" s="6" t="s">
        <v>931</v>
      </c>
      <c r="D94" s="6" t="s">
        <v>30</v>
      </c>
      <c r="E94" s="6" t="s">
        <v>37</v>
      </c>
      <c r="F94" s="6">
        <v>990</v>
      </c>
      <c r="G94" s="6">
        <v>1050</v>
      </c>
      <c r="H94" s="6">
        <v>0</v>
      </c>
      <c r="I94" s="6">
        <v>26</v>
      </c>
      <c r="J94" s="6">
        <v>0</v>
      </c>
      <c r="K94" s="6">
        <v>0</v>
      </c>
      <c r="L94" s="7">
        <v>1</v>
      </c>
      <c r="M94" s="6" t="s">
        <v>1025</v>
      </c>
    </row>
    <row r="95" spans="1:13" x14ac:dyDescent="0.25">
      <c r="A95" s="9">
        <v>46186</v>
      </c>
      <c r="B95" s="6" t="s">
        <v>760</v>
      </c>
      <c r="C95" s="6" t="s">
        <v>931</v>
      </c>
      <c r="D95" s="6" t="s">
        <v>30</v>
      </c>
      <c r="E95" s="6" t="s">
        <v>42</v>
      </c>
      <c r="F95" s="6">
        <v>560</v>
      </c>
      <c r="G95" s="6">
        <v>570</v>
      </c>
      <c r="H95" s="6">
        <v>0</v>
      </c>
      <c r="I95" s="6">
        <v>11</v>
      </c>
      <c r="J95" s="6">
        <v>0</v>
      </c>
      <c r="K95" s="6">
        <v>0</v>
      </c>
      <c r="L95" s="7">
        <v>1</v>
      </c>
      <c r="M95" s="6" t="s">
        <v>1026</v>
      </c>
    </row>
    <row r="96" spans="1:13" x14ac:dyDescent="0.25">
      <c r="A96" s="9">
        <v>46186</v>
      </c>
      <c r="B96" s="6" t="s">
        <v>565</v>
      </c>
      <c r="C96" s="6" t="s">
        <v>931</v>
      </c>
      <c r="D96" s="6" t="s">
        <v>30</v>
      </c>
      <c r="E96" s="6" t="s">
        <v>60</v>
      </c>
      <c r="F96" s="6">
        <v>810</v>
      </c>
      <c r="G96" s="6">
        <v>760</v>
      </c>
      <c r="H96" s="6">
        <v>45</v>
      </c>
      <c r="I96" s="6">
        <v>18</v>
      </c>
      <c r="J96" s="6">
        <v>1</v>
      </c>
      <c r="K96" s="6">
        <v>5.5555555555555497E-2</v>
      </c>
      <c r="L96" s="7">
        <v>0.94444444444444398</v>
      </c>
      <c r="M96" s="6" t="s">
        <v>1027</v>
      </c>
    </row>
    <row r="97" spans="1:13" x14ac:dyDescent="0.25">
      <c r="A97" s="9">
        <v>46186</v>
      </c>
      <c r="B97" s="6" t="s">
        <v>259</v>
      </c>
      <c r="C97" s="6" t="s">
        <v>931</v>
      </c>
      <c r="D97" s="6" t="s">
        <v>30</v>
      </c>
      <c r="E97" s="6" t="s">
        <v>37</v>
      </c>
      <c r="F97" s="6">
        <v>2400</v>
      </c>
      <c r="G97" s="6">
        <v>4591</v>
      </c>
      <c r="H97" s="6">
        <v>0</v>
      </c>
      <c r="I97" s="6">
        <v>60</v>
      </c>
      <c r="J97" s="6">
        <v>0</v>
      </c>
      <c r="K97" s="6">
        <v>0</v>
      </c>
      <c r="L97" s="7">
        <v>1</v>
      </c>
      <c r="M97" s="6" t="s">
        <v>1015</v>
      </c>
    </row>
    <row r="98" spans="1:13" x14ac:dyDescent="0.25">
      <c r="A98" s="9">
        <v>46186</v>
      </c>
      <c r="B98" s="6" t="s">
        <v>491</v>
      </c>
      <c r="C98" s="6" t="s">
        <v>931</v>
      </c>
      <c r="D98" s="6" t="s">
        <v>30</v>
      </c>
      <c r="E98" s="6" t="s">
        <v>31</v>
      </c>
      <c r="F98" s="6">
        <v>480</v>
      </c>
      <c r="G98" s="6">
        <v>590</v>
      </c>
      <c r="H98" s="6">
        <v>0</v>
      </c>
      <c r="I98" s="6">
        <v>10</v>
      </c>
      <c r="J98" s="6">
        <v>0</v>
      </c>
      <c r="K98" s="6">
        <v>0</v>
      </c>
      <c r="L98" s="7">
        <v>1</v>
      </c>
      <c r="M98" s="6" t="s">
        <v>1028</v>
      </c>
    </row>
    <row r="99" spans="1:13" x14ac:dyDescent="0.25">
      <c r="A99" s="9">
        <v>46186</v>
      </c>
      <c r="B99" s="6" t="s">
        <v>729</v>
      </c>
      <c r="C99" s="6" t="s">
        <v>931</v>
      </c>
      <c r="D99" s="6" t="s">
        <v>30</v>
      </c>
      <c r="E99" s="6" t="s">
        <v>31</v>
      </c>
      <c r="F99" s="6">
        <v>930</v>
      </c>
      <c r="G99" s="6">
        <v>960</v>
      </c>
      <c r="H99" s="6">
        <v>0</v>
      </c>
      <c r="I99" s="6">
        <v>26</v>
      </c>
      <c r="J99" s="6">
        <v>0</v>
      </c>
      <c r="K99" s="6">
        <v>0</v>
      </c>
      <c r="L99" s="7">
        <v>1</v>
      </c>
      <c r="M99" s="6" t="s">
        <v>1029</v>
      </c>
    </row>
    <row r="100" spans="1:13" x14ac:dyDescent="0.25">
      <c r="A100" s="9">
        <v>46186</v>
      </c>
      <c r="B100" s="6" t="s">
        <v>596</v>
      </c>
      <c r="C100" s="6" t="s">
        <v>931</v>
      </c>
      <c r="D100" s="6" t="s">
        <v>30</v>
      </c>
      <c r="E100" s="6" t="s">
        <v>31</v>
      </c>
      <c r="F100" s="6">
        <v>140</v>
      </c>
      <c r="G100" s="6">
        <v>150</v>
      </c>
      <c r="H100" s="6">
        <v>0</v>
      </c>
      <c r="I100" s="6">
        <v>6</v>
      </c>
      <c r="J100" s="6">
        <v>0</v>
      </c>
      <c r="K100" s="6">
        <v>0</v>
      </c>
      <c r="L100" s="7">
        <v>1</v>
      </c>
      <c r="M100" s="6" t="s">
        <v>1030</v>
      </c>
    </row>
    <row r="101" spans="1:13" x14ac:dyDescent="0.25">
      <c r="A101" s="9">
        <v>46186</v>
      </c>
      <c r="B101" s="6" t="s">
        <v>632</v>
      </c>
      <c r="C101" s="6" t="s">
        <v>931</v>
      </c>
      <c r="D101" s="6" t="s">
        <v>30</v>
      </c>
      <c r="E101" s="6" t="s">
        <v>60</v>
      </c>
      <c r="F101" s="6">
        <v>180</v>
      </c>
      <c r="G101" s="6">
        <v>100</v>
      </c>
      <c r="H101" s="6">
        <v>0</v>
      </c>
      <c r="I101" s="6">
        <v>2</v>
      </c>
      <c r="J101" s="6">
        <v>0</v>
      </c>
      <c r="K101" s="6">
        <v>0</v>
      </c>
      <c r="L101" s="7">
        <v>1</v>
      </c>
      <c r="M101" s="6" t="s">
        <v>1031</v>
      </c>
    </row>
    <row r="102" spans="1:13" x14ac:dyDescent="0.25">
      <c r="A102" s="9">
        <v>46186</v>
      </c>
      <c r="B102" s="6" t="s">
        <v>844</v>
      </c>
      <c r="C102" s="6" t="s">
        <v>931</v>
      </c>
      <c r="D102" s="6" t="s">
        <v>30</v>
      </c>
      <c r="E102" s="6" t="s">
        <v>37</v>
      </c>
      <c r="F102" s="6">
        <v>540</v>
      </c>
      <c r="G102" s="6">
        <v>590</v>
      </c>
      <c r="H102" s="6">
        <v>0</v>
      </c>
      <c r="I102" s="6">
        <v>6</v>
      </c>
      <c r="J102" s="6">
        <v>0</v>
      </c>
      <c r="K102" s="6">
        <v>0</v>
      </c>
      <c r="L102" s="7">
        <v>1</v>
      </c>
      <c r="M102" s="6" t="s">
        <v>1032</v>
      </c>
    </row>
    <row r="103" spans="1:13" x14ac:dyDescent="0.25">
      <c r="A103" s="9">
        <v>46186</v>
      </c>
      <c r="B103" s="6" t="s">
        <v>529</v>
      </c>
      <c r="C103" s="6" t="s">
        <v>931</v>
      </c>
      <c r="D103" s="6" t="s">
        <v>30</v>
      </c>
      <c r="E103" s="6" t="s">
        <v>60</v>
      </c>
      <c r="F103" s="6">
        <v>900</v>
      </c>
      <c r="G103" s="6">
        <v>1620</v>
      </c>
      <c r="H103" s="6">
        <v>0</v>
      </c>
      <c r="I103" s="6">
        <v>11</v>
      </c>
      <c r="J103" s="6">
        <v>0</v>
      </c>
      <c r="K103" s="6">
        <v>0</v>
      </c>
      <c r="L103" s="7">
        <v>1</v>
      </c>
      <c r="M103" s="6" t="s">
        <v>1033</v>
      </c>
    </row>
    <row r="104" spans="1:13" x14ac:dyDescent="0.25">
      <c r="A104" s="9">
        <v>46186</v>
      </c>
      <c r="B104" s="6" t="s">
        <v>496</v>
      </c>
      <c r="C104" s="6" t="s">
        <v>931</v>
      </c>
      <c r="D104" s="6" t="s">
        <v>30</v>
      </c>
      <c r="E104" s="6" t="s">
        <v>31</v>
      </c>
      <c r="F104" s="6">
        <v>560</v>
      </c>
      <c r="G104" s="6">
        <v>520</v>
      </c>
      <c r="H104" s="6">
        <v>40</v>
      </c>
      <c r="I104" s="6">
        <v>11</v>
      </c>
      <c r="J104" s="6">
        <v>2</v>
      </c>
      <c r="K104" s="6">
        <v>0.18181818181818099</v>
      </c>
      <c r="L104" s="7">
        <v>0.81818181818181801</v>
      </c>
      <c r="M104" s="6" t="s">
        <v>1034</v>
      </c>
    </row>
    <row r="105" spans="1:13" x14ac:dyDescent="0.25">
      <c r="A105" s="9">
        <v>46186</v>
      </c>
      <c r="B105" s="6" t="s">
        <v>214</v>
      </c>
      <c r="C105" s="6" t="s">
        <v>931</v>
      </c>
      <c r="D105" s="6" t="s">
        <v>30</v>
      </c>
      <c r="E105" s="6" t="s">
        <v>108</v>
      </c>
      <c r="F105" s="6">
        <v>1210</v>
      </c>
      <c r="G105" s="6">
        <v>1430</v>
      </c>
      <c r="H105" s="6">
        <v>0</v>
      </c>
      <c r="I105" s="6">
        <v>41</v>
      </c>
      <c r="J105" s="6">
        <v>0</v>
      </c>
      <c r="K105" s="6">
        <v>0</v>
      </c>
      <c r="L105" s="7">
        <v>1</v>
      </c>
      <c r="M105" s="6" t="s">
        <v>1035</v>
      </c>
    </row>
    <row r="106" spans="1:13" x14ac:dyDescent="0.25">
      <c r="A106" s="9">
        <v>46186</v>
      </c>
      <c r="B106" s="6" t="s">
        <v>35</v>
      </c>
      <c r="C106" s="6" t="s">
        <v>931</v>
      </c>
      <c r="D106" s="6" t="s">
        <v>30</v>
      </c>
      <c r="E106" s="6" t="s">
        <v>37</v>
      </c>
      <c r="F106" s="6">
        <v>630</v>
      </c>
      <c r="G106" s="6">
        <v>560</v>
      </c>
      <c r="H106" s="6">
        <v>0</v>
      </c>
      <c r="I106" s="6">
        <v>7</v>
      </c>
      <c r="J106" s="6">
        <v>0</v>
      </c>
      <c r="K106" s="6">
        <v>0</v>
      </c>
      <c r="L106" s="7">
        <v>1</v>
      </c>
      <c r="M106" s="6" t="s">
        <v>1036</v>
      </c>
    </row>
    <row r="107" spans="1:13" x14ac:dyDescent="0.25">
      <c r="A107" s="9">
        <v>46186</v>
      </c>
      <c r="B107" s="6" t="s">
        <v>335</v>
      </c>
      <c r="C107" s="6" t="s">
        <v>931</v>
      </c>
      <c r="D107" s="6" t="s">
        <v>30</v>
      </c>
      <c r="E107" s="6" t="s">
        <v>31</v>
      </c>
      <c r="F107" s="6">
        <v>40</v>
      </c>
      <c r="G107" s="6">
        <v>50</v>
      </c>
      <c r="H107" s="6">
        <v>0</v>
      </c>
      <c r="I107" s="6">
        <v>2</v>
      </c>
      <c r="J107" s="6">
        <v>0</v>
      </c>
      <c r="K107" s="6">
        <v>0</v>
      </c>
      <c r="L107" s="7">
        <v>1</v>
      </c>
      <c r="M107" s="6" t="s">
        <v>1037</v>
      </c>
    </row>
    <row r="108" spans="1:13" x14ac:dyDescent="0.25">
      <c r="A108" s="9">
        <v>46186</v>
      </c>
      <c r="B108" s="6" t="s">
        <v>143</v>
      </c>
      <c r="C108" s="6" t="s">
        <v>931</v>
      </c>
      <c r="D108" s="6" t="s">
        <v>30</v>
      </c>
      <c r="E108" s="6" t="s">
        <v>37</v>
      </c>
      <c r="F108" s="6">
        <v>1460</v>
      </c>
      <c r="G108" s="6">
        <v>0</v>
      </c>
      <c r="H108" s="6">
        <v>0</v>
      </c>
      <c r="I108" s="6">
        <v>27</v>
      </c>
      <c r="J108" s="6">
        <v>0</v>
      </c>
      <c r="K108" s="6">
        <v>0</v>
      </c>
      <c r="L108" s="7">
        <v>1</v>
      </c>
      <c r="M108" s="6" t="s">
        <v>1038</v>
      </c>
    </row>
    <row r="109" spans="1:13" x14ac:dyDescent="0.25">
      <c r="A109" s="9">
        <v>46186</v>
      </c>
      <c r="B109" s="6" t="s">
        <v>807</v>
      </c>
      <c r="C109" s="6" t="s">
        <v>931</v>
      </c>
      <c r="D109" s="6" t="s">
        <v>30</v>
      </c>
      <c r="E109" s="6" t="s">
        <v>31</v>
      </c>
      <c r="F109" s="6">
        <v>620</v>
      </c>
      <c r="G109" s="6">
        <v>420</v>
      </c>
      <c r="H109" s="6">
        <v>200</v>
      </c>
      <c r="I109" s="6">
        <v>23</v>
      </c>
      <c r="J109" s="6">
        <v>5</v>
      </c>
      <c r="K109" s="6">
        <v>0.217391304347826</v>
      </c>
      <c r="L109" s="7">
        <v>0.78260869565217395</v>
      </c>
      <c r="M109" s="6" t="s">
        <v>1039</v>
      </c>
    </row>
    <row r="110" spans="1:13" x14ac:dyDescent="0.25">
      <c r="A110" s="9">
        <v>46186</v>
      </c>
      <c r="B110" s="6" t="s">
        <v>770</v>
      </c>
      <c r="C110" s="6" t="s">
        <v>931</v>
      </c>
      <c r="D110" s="6" t="s">
        <v>30</v>
      </c>
      <c r="E110" s="6" t="s">
        <v>31</v>
      </c>
      <c r="F110" s="6">
        <v>320</v>
      </c>
      <c r="G110" s="6">
        <v>450</v>
      </c>
      <c r="H110" s="6">
        <v>0</v>
      </c>
      <c r="I110" s="6">
        <v>9</v>
      </c>
      <c r="J110" s="6">
        <v>0</v>
      </c>
      <c r="K110" s="6">
        <v>0</v>
      </c>
      <c r="L110" s="7">
        <v>1</v>
      </c>
      <c r="M110" s="6" t="s">
        <v>1040</v>
      </c>
    </row>
    <row r="111" spans="1:13" x14ac:dyDescent="0.25">
      <c r="A111" s="9">
        <v>46186</v>
      </c>
      <c r="B111" s="6" t="s">
        <v>577</v>
      </c>
      <c r="C111" s="6" t="s">
        <v>931</v>
      </c>
      <c r="D111" s="6" t="s">
        <v>30</v>
      </c>
      <c r="E111" s="6" t="s">
        <v>42</v>
      </c>
      <c r="F111" s="6">
        <v>460</v>
      </c>
      <c r="G111" s="6">
        <v>350</v>
      </c>
      <c r="H111" s="6">
        <v>100</v>
      </c>
      <c r="I111" s="6">
        <v>11</v>
      </c>
      <c r="J111" s="6">
        <v>2</v>
      </c>
      <c r="K111" s="6">
        <v>0.18181818181818099</v>
      </c>
      <c r="L111" s="7">
        <v>0.81818181818181801</v>
      </c>
      <c r="M111" s="6" t="s">
        <v>1041</v>
      </c>
    </row>
    <row r="112" spans="1:13" x14ac:dyDescent="0.25">
      <c r="A112" s="9">
        <v>46186</v>
      </c>
      <c r="B112" s="6" t="s">
        <v>763</v>
      </c>
      <c r="C112" s="6" t="s">
        <v>931</v>
      </c>
      <c r="D112" s="6" t="s">
        <v>30</v>
      </c>
      <c r="E112" s="6" t="s">
        <v>31</v>
      </c>
      <c r="F112" s="6">
        <v>260</v>
      </c>
      <c r="G112" s="6">
        <v>310</v>
      </c>
      <c r="H112" s="6">
        <v>0</v>
      </c>
      <c r="I112" s="6">
        <v>11</v>
      </c>
      <c r="J112" s="6">
        <v>0</v>
      </c>
      <c r="K112" s="6">
        <v>0</v>
      </c>
      <c r="L112" s="7">
        <v>1</v>
      </c>
      <c r="M112" s="6" t="s">
        <v>950</v>
      </c>
    </row>
    <row r="113" spans="1:13" x14ac:dyDescent="0.25">
      <c r="A113" s="9">
        <v>46186</v>
      </c>
      <c r="B113" s="6" t="s">
        <v>686</v>
      </c>
      <c r="C113" s="6" t="s">
        <v>931</v>
      </c>
      <c r="D113" s="6" t="s">
        <v>30</v>
      </c>
      <c r="E113" s="6" t="s">
        <v>60</v>
      </c>
      <c r="F113" s="6">
        <v>260</v>
      </c>
      <c r="G113" s="6">
        <v>300</v>
      </c>
      <c r="H113" s="6">
        <v>0</v>
      </c>
      <c r="I113" s="6">
        <v>4</v>
      </c>
      <c r="J113" s="6">
        <v>0</v>
      </c>
      <c r="K113" s="6">
        <v>0</v>
      </c>
      <c r="L113" s="7">
        <v>1</v>
      </c>
      <c r="M113" s="6" t="s">
        <v>1042</v>
      </c>
    </row>
    <row r="114" spans="1:13" x14ac:dyDescent="0.25">
      <c r="A114" s="9">
        <v>46186</v>
      </c>
      <c r="B114" s="6" t="s">
        <v>493</v>
      </c>
      <c r="C114" s="6" t="s">
        <v>931</v>
      </c>
      <c r="D114" s="6" t="s">
        <v>30</v>
      </c>
      <c r="E114" s="6" t="s">
        <v>42</v>
      </c>
      <c r="F114" s="6">
        <v>440</v>
      </c>
      <c r="G114" s="6">
        <v>530</v>
      </c>
      <c r="H114" s="6">
        <v>0</v>
      </c>
      <c r="I114" s="6">
        <v>10</v>
      </c>
      <c r="J114" s="6">
        <v>0</v>
      </c>
      <c r="K114" s="6">
        <v>0</v>
      </c>
      <c r="L114" s="7">
        <v>1</v>
      </c>
      <c r="M114" s="6" t="s">
        <v>1043</v>
      </c>
    </row>
    <row r="115" spans="1:13" x14ac:dyDescent="0.25">
      <c r="A115" s="9">
        <v>46186</v>
      </c>
      <c r="B115" s="6" t="s">
        <v>248</v>
      </c>
      <c r="C115" s="6" t="s">
        <v>931</v>
      </c>
      <c r="D115" s="6" t="s">
        <v>30</v>
      </c>
      <c r="E115" s="6" t="s">
        <v>31</v>
      </c>
      <c r="F115" s="6">
        <v>470</v>
      </c>
      <c r="G115" s="6">
        <v>510</v>
      </c>
      <c r="H115" s="6">
        <v>0</v>
      </c>
      <c r="I115" s="6">
        <v>11</v>
      </c>
      <c r="J115" s="6">
        <v>0</v>
      </c>
      <c r="K115" s="6">
        <v>0</v>
      </c>
      <c r="L115" s="7">
        <v>1</v>
      </c>
      <c r="M115" s="6" t="s">
        <v>950</v>
      </c>
    </row>
    <row r="116" spans="1:13" x14ac:dyDescent="0.25">
      <c r="A116" s="9">
        <v>46186</v>
      </c>
      <c r="B116" s="6" t="s">
        <v>526</v>
      </c>
      <c r="C116" s="6" t="s">
        <v>931</v>
      </c>
      <c r="D116" s="6" t="s">
        <v>30</v>
      </c>
      <c r="E116" s="6" t="s">
        <v>60</v>
      </c>
      <c r="F116" s="6">
        <v>850</v>
      </c>
      <c r="G116" s="6">
        <v>990</v>
      </c>
      <c r="H116" s="6">
        <v>0</v>
      </c>
      <c r="I116" s="6">
        <v>31</v>
      </c>
      <c r="J116" s="6">
        <v>0</v>
      </c>
      <c r="K116" s="6">
        <v>0</v>
      </c>
      <c r="L116" s="7">
        <v>1</v>
      </c>
      <c r="M116" s="6" t="s">
        <v>1044</v>
      </c>
    </row>
    <row r="117" spans="1:13" x14ac:dyDescent="0.25">
      <c r="A117" s="9">
        <v>46186</v>
      </c>
      <c r="B117" s="6" t="s">
        <v>463</v>
      </c>
      <c r="C117" s="6" t="s">
        <v>931</v>
      </c>
      <c r="D117" s="6" t="s">
        <v>30</v>
      </c>
      <c r="E117" s="6" t="s">
        <v>60</v>
      </c>
      <c r="F117" s="6">
        <v>505</v>
      </c>
      <c r="G117" s="6">
        <v>550</v>
      </c>
      <c r="H117" s="6">
        <v>0</v>
      </c>
      <c r="I117" s="6">
        <v>14</v>
      </c>
      <c r="J117" s="6">
        <v>0</v>
      </c>
      <c r="K117" s="6">
        <v>0</v>
      </c>
      <c r="L117" s="7">
        <v>1</v>
      </c>
      <c r="M117" s="6" t="s">
        <v>1045</v>
      </c>
    </row>
    <row r="118" spans="1:13" x14ac:dyDescent="0.25">
      <c r="A118" s="9">
        <v>46186</v>
      </c>
      <c r="B118" s="6" t="s">
        <v>626</v>
      </c>
      <c r="C118" s="6" t="s">
        <v>931</v>
      </c>
      <c r="D118" s="6" t="s">
        <v>30</v>
      </c>
      <c r="E118" s="6" t="s">
        <v>108</v>
      </c>
      <c r="F118" s="6">
        <v>450</v>
      </c>
      <c r="G118" s="6">
        <v>520</v>
      </c>
      <c r="H118" s="6">
        <v>0</v>
      </c>
      <c r="I118" s="6">
        <v>10</v>
      </c>
      <c r="J118" s="6">
        <v>0</v>
      </c>
      <c r="K118" s="6">
        <v>0</v>
      </c>
      <c r="L118" s="7">
        <v>1</v>
      </c>
      <c r="M118" s="6" t="s">
        <v>1046</v>
      </c>
    </row>
    <row r="119" spans="1:13" x14ac:dyDescent="0.25">
      <c r="A119" s="9">
        <v>46186</v>
      </c>
      <c r="B119" s="6" t="s">
        <v>264</v>
      </c>
      <c r="C119" s="6" t="s">
        <v>931</v>
      </c>
      <c r="D119" s="6" t="s">
        <v>30</v>
      </c>
      <c r="E119" s="6" t="s">
        <v>31</v>
      </c>
      <c r="F119" s="6">
        <v>410</v>
      </c>
      <c r="G119" s="6">
        <v>420</v>
      </c>
      <c r="H119" s="6">
        <v>0</v>
      </c>
      <c r="I119" s="6">
        <v>12</v>
      </c>
      <c r="J119" s="6">
        <v>0</v>
      </c>
      <c r="K119" s="6">
        <v>0</v>
      </c>
      <c r="L119" s="7">
        <v>1</v>
      </c>
      <c r="M119" s="6" t="s">
        <v>1047</v>
      </c>
    </row>
    <row r="120" spans="1:13" x14ac:dyDescent="0.25">
      <c r="A120" s="9">
        <v>46186</v>
      </c>
      <c r="B120" s="6" t="s">
        <v>394</v>
      </c>
      <c r="C120" s="6" t="s">
        <v>931</v>
      </c>
      <c r="D120" s="6" t="s">
        <v>30</v>
      </c>
      <c r="E120" s="6" t="s">
        <v>31</v>
      </c>
      <c r="F120" s="6">
        <v>960</v>
      </c>
      <c r="G120" s="6">
        <v>1050</v>
      </c>
      <c r="H120" s="6">
        <v>0</v>
      </c>
      <c r="I120" s="6">
        <v>30</v>
      </c>
      <c r="J120" s="6">
        <v>0</v>
      </c>
      <c r="K120" s="6">
        <v>0</v>
      </c>
      <c r="L120" s="7">
        <v>1</v>
      </c>
      <c r="M120" s="6" t="s">
        <v>1048</v>
      </c>
    </row>
    <row r="121" spans="1:13" x14ac:dyDescent="0.25">
      <c r="A121" s="9">
        <v>46186</v>
      </c>
      <c r="B121" s="6" t="s">
        <v>750</v>
      </c>
      <c r="C121" s="6" t="s">
        <v>931</v>
      </c>
      <c r="D121" s="6" t="s">
        <v>30</v>
      </c>
      <c r="E121" s="6" t="s">
        <v>60</v>
      </c>
      <c r="F121" s="6">
        <v>1430</v>
      </c>
      <c r="G121" s="6">
        <v>1940</v>
      </c>
      <c r="H121" s="6">
        <v>0</v>
      </c>
      <c r="I121" s="6">
        <v>16</v>
      </c>
      <c r="J121" s="6">
        <v>0</v>
      </c>
      <c r="K121" s="6">
        <v>0</v>
      </c>
      <c r="L121" s="7">
        <v>1</v>
      </c>
      <c r="M121" s="6" t="s">
        <v>1049</v>
      </c>
    </row>
    <row r="122" spans="1:13" x14ac:dyDescent="0.25">
      <c r="A122" s="9">
        <v>46186</v>
      </c>
      <c r="B122" s="6" t="s">
        <v>743</v>
      </c>
      <c r="C122" s="6" t="s">
        <v>931</v>
      </c>
      <c r="D122" s="6" t="s">
        <v>30</v>
      </c>
      <c r="E122" s="6" t="s">
        <v>31</v>
      </c>
      <c r="F122" s="6">
        <v>480</v>
      </c>
      <c r="G122" s="6">
        <v>430</v>
      </c>
      <c r="H122" s="6">
        <v>40</v>
      </c>
      <c r="I122" s="6">
        <v>15</v>
      </c>
      <c r="J122" s="6">
        <v>1</v>
      </c>
      <c r="K122" s="6">
        <v>6.6666666666666596E-2</v>
      </c>
      <c r="L122" s="7">
        <v>0.93333333333333302</v>
      </c>
      <c r="M122" s="6" t="s">
        <v>950</v>
      </c>
    </row>
    <row r="123" spans="1:13" x14ac:dyDescent="0.25">
      <c r="A123" s="9">
        <v>46186</v>
      </c>
      <c r="B123" s="6" t="s">
        <v>796</v>
      </c>
      <c r="C123" s="6" t="s">
        <v>931</v>
      </c>
      <c r="D123" s="6" t="s">
        <v>30</v>
      </c>
      <c r="E123" s="6" t="s">
        <v>108</v>
      </c>
      <c r="F123" s="6">
        <v>200</v>
      </c>
      <c r="G123" s="6">
        <v>40</v>
      </c>
      <c r="H123" s="6">
        <v>160</v>
      </c>
      <c r="I123" s="6">
        <v>5</v>
      </c>
      <c r="J123" s="6">
        <v>4</v>
      </c>
      <c r="K123" s="6">
        <v>0.8</v>
      </c>
      <c r="L123" s="7">
        <v>0.2</v>
      </c>
      <c r="M123" s="6" t="s">
        <v>1050</v>
      </c>
    </row>
    <row r="124" spans="1:13" x14ac:dyDescent="0.25">
      <c r="A124" s="9">
        <v>46186</v>
      </c>
      <c r="B124" s="6" t="s">
        <v>773</v>
      </c>
      <c r="C124" s="6" t="s">
        <v>931</v>
      </c>
      <c r="D124" s="6" t="s">
        <v>30</v>
      </c>
      <c r="E124" s="6" t="s">
        <v>60</v>
      </c>
      <c r="F124" s="6">
        <v>520</v>
      </c>
      <c r="G124" s="6">
        <v>520</v>
      </c>
      <c r="H124" s="6">
        <v>0</v>
      </c>
      <c r="I124" s="6">
        <v>6</v>
      </c>
      <c r="J124" s="6">
        <v>0</v>
      </c>
      <c r="K124" s="6">
        <v>0</v>
      </c>
      <c r="L124" s="7">
        <v>1</v>
      </c>
      <c r="M124" s="6" t="s">
        <v>1051</v>
      </c>
    </row>
    <row r="125" spans="1:13" x14ac:dyDescent="0.25">
      <c r="A125" s="9">
        <v>46186</v>
      </c>
      <c r="B125" s="6" t="s">
        <v>639</v>
      </c>
      <c r="C125" s="6" t="s">
        <v>931</v>
      </c>
      <c r="D125" s="6" t="s">
        <v>30</v>
      </c>
      <c r="E125" s="6" t="s">
        <v>31</v>
      </c>
      <c r="F125" s="6">
        <v>1030</v>
      </c>
      <c r="G125" s="6">
        <v>1040</v>
      </c>
      <c r="H125" s="6">
        <v>0</v>
      </c>
      <c r="I125" s="6">
        <v>22</v>
      </c>
      <c r="J125" s="6">
        <v>0</v>
      </c>
      <c r="K125" s="6">
        <v>0</v>
      </c>
      <c r="L125" s="7">
        <v>1</v>
      </c>
      <c r="M125" s="6" t="s">
        <v>1052</v>
      </c>
    </row>
    <row r="126" spans="1:13" x14ac:dyDescent="0.25">
      <c r="A126" s="9">
        <v>46186</v>
      </c>
      <c r="B126" s="6" t="s">
        <v>385</v>
      </c>
      <c r="C126" s="6" t="s">
        <v>931</v>
      </c>
      <c r="D126" s="6" t="s">
        <v>30</v>
      </c>
      <c r="E126" s="6" t="s">
        <v>60</v>
      </c>
      <c r="F126" s="6">
        <v>330</v>
      </c>
      <c r="G126" s="6">
        <v>430</v>
      </c>
      <c r="H126" s="6">
        <v>0</v>
      </c>
      <c r="I126" s="6">
        <v>5</v>
      </c>
      <c r="J126" s="6">
        <v>0</v>
      </c>
      <c r="K126" s="6">
        <v>0</v>
      </c>
      <c r="L126" s="7">
        <v>1</v>
      </c>
      <c r="M126" s="6" t="s">
        <v>1053</v>
      </c>
    </row>
    <row r="127" spans="1:13" x14ac:dyDescent="0.25">
      <c r="A127" s="9">
        <v>46186</v>
      </c>
      <c r="B127" s="6" t="s">
        <v>186</v>
      </c>
      <c r="C127" s="6" t="s">
        <v>931</v>
      </c>
      <c r="D127" s="6" t="s">
        <v>30</v>
      </c>
      <c r="E127" s="6" t="s">
        <v>31</v>
      </c>
      <c r="F127" s="6">
        <v>40</v>
      </c>
      <c r="G127" s="6">
        <v>40</v>
      </c>
      <c r="H127" s="6">
        <v>0</v>
      </c>
      <c r="I127" s="6">
        <v>1</v>
      </c>
      <c r="J127" s="6">
        <v>0</v>
      </c>
      <c r="K127" s="6">
        <v>0</v>
      </c>
      <c r="L127" s="7">
        <v>1</v>
      </c>
      <c r="M127" s="6" t="s">
        <v>1054</v>
      </c>
    </row>
    <row r="128" spans="1:13" x14ac:dyDescent="0.25">
      <c r="A128" s="9">
        <v>46186</v>
      </c>
      <c r="B128" s="6" t="s">
        <v>680</v>
      </c>
      <c r="C128" s="6" t="s">
        <v>931</v>
      </c>
      <c r="D128" s="6" t="s">
        <v>30</v>
      </c>
      <c r="E128" s="6" t="s">
        <v>108</v>
      </c>
      <c r="F128" s="6">
        <v>1320</v>
      </c>
      <c r="G128" s="6">
        <v>1370</v>
      </c>
      <c r="H128" s="6">
        <v>0</v>
      </c>
      <c r="I128" s="6">
        <v>42</v>
      </c>
      <c r="J128" s="6">
        <v>0</v>
      </c>
      <c r="K128" s="6">
        <v>0</v>
      </c>
      <c r="L128" s="7">
        <v>1</v>
      </c>
      <c r="M128" s="6" t="s">
        <v>1055</v>
      </c>
    </row>
    <row r="129" spans="1:13" x14ac:dyDescent="0.25">
      <c r="A129" s="9">
        <v>46186</v>
      </c>
      <c r="B129" s="6" t="s">
        <v>381</v>
      </c>
      <c r="C129" s="6" t="s">
        <v>931</v>
      </c>
      <c r="D129" s="6" t="s">
        <v>30</v>
      </c>
      <c r="E129" s="6" t="s">
        <v>42</v>
      </c>
      <c r="F129" s="6">
        <v>1120</v>
      </c>
      <c r="G129" s="6">
        <v>1380</v>
      </c>
      <c r="H129" s="6">
        <v>0</v>
      </c>
      <c r="I129" s="6">
        <v>27</v>
      </c>
      <c r="J129" s="6">
        <v>0</v>
      </c>
      <c r="K129" s="6">
        <v>0</v>
      </c>
      <c r="L129" s="7">
        <v>1</v>
      </c>
      <c r="M129" s="6" t="s">
        <v>1056</v>
      </c>
    </row>
    <row r="130" spans="1:13" x14ac:dyDescent="0.25">
      <c r="A130" s="9">
        <v>46186</v>
      </c>
      <c r="B130" s="6" t="s">
        <v>502</v>
      </c>
      <c r="C130" s="6" t="s">
        <v>931</v>
      </c>
      <c r="D130" s="6" t="s">
        <v>30</v>
      </c>
      <c r="E130" s="6" t="s">
        <v>31</v>
      </c>
      <c r="F130" s="6">
        <v>420</v>
      </c>
      <c r="G130" s="6">
        <v>560</v>
      </c>
      <c r="H130" s="6">
        <v>0</v>
      </c>
      <c r="I130" s="6">
        <v>18</v>
      </c>
      <c r="J130" s="6">
        <v>0</v>
      </c>
      <c r="K130" s="6">
        <v>0</v>
      </c>
      <c r="L130" s="7">
        <v>1</v>
      </c>
      <c r="M130" s="6" t="s">
        <v>1057</v>
      </c>
    </row>
    <row r="131" spans="1:13" x14ac:dyDescent="0.25">
      <c r="A131" s="9">
        <v>46186</v>
      </c>
      <c r="B131" s="6" t="s">
        <v>655</v>
      </c>
      <c r="C131" s="6" t="s">
        <v>931</v>
      </c>
      <c r="D131" s="6" t="s">
        <v>30</v>
      </c>
      <c r="E131" s="6" t="s">
        <v>42</v>
      </c>
      <c r="F131" s="6">
        <v>960</v>
      </c>
      <c r="G131" s="6">
        <v>520</v>
      </c>
      <c r="H131" s="6">
        <v>440</v>
      </c>
      <c r="I131" s="6">
        <v>22</v>
      </c>
      <c r="J131" s="6">
        <v>9</v>
      </c>
      <c r="K131" s="6">
        <v>0.40909090909090901</v>
      </c>
      <c r="L131" s="7">
        <v>0.59090909090909005</v>
      </c>
      <c r="M131" s="6" t="s">
        <v>1058</v>
      </c>
    </row>
    <row r="132" spans="1:13" x14ac:dyDescent="0.25">
      <c r="A132" s="9">
        <v>46186</v>
      </c>
      <c r="B132" s="6" t="s">
        <v>319</v>
      </c>
      <c r="C132" s="6" t="s">
        <v>931</v>
      </c>
      <c r="D132" s="6" t="s">
        <v>30</v>
      </c>
      <c r="E132" s="6" t="s">
        <v>31</v>
      </c>
      <c r="F132" s="6">
        <v>340</v>
      </c>
      <c r="G132" s="6">
        <v>420</v>
      </c>
      <c r="H132" s="6">
        <v>0</v>
      </c>
      <c r="I132" s="6">
        <v>17</v>
      </c>
      <c r="J132" s="6">
        <v>0</v>
      </c>
      <c r="K132" s="6">
        <v>0</v>
      </c>
      <c r="L132" s="7">
        <v>1</v>
      </c>
      <c r="M132" s="6" t="s">
        <v>1059</v>
      </c>
    </row>
    <row r="133" spans="1:13" x14ac:dyDescent="0.25">
      <c r="A133" s="9">
        <v>46186</v>
      </c>
      <c r="B133" s="6" t="s">
        <v>556</v>
      </c>
      <c r="C133" s="6" t="s">
        <v>931</v>
      </c>
      <c r="D133" s="6" t="s">
        <v>30</v>
      </c>
      <c r="E133" s="6" t="s">
        <v>42</v>
      </c>
      <c r="F133" s="6">
        <v>240</v>
      </c>
      <c r="G133" s="6">
        <v>190</v>
      </c>
      <c r="H133" s="6">
        <v>40</v>
      </c>
      <c r="I133" s="6">
        <v>6</v>
      </c>
      <c r="J133" s="6">
        <v>1</v>
      </c>
      <c r="K133" s="6">
        <v>0.16666666666666599</v>
      </c>
      <c r="L133" s="7">
        <v>0.83333333333333304</v>
      </c>
      <c r="M133" s="6" t="s">
        <v>1060</v>
      </c>
    </row>
    <row r="134" spans="1:13" x14ac:dyDescent="0.25">
      <c r="A134" s="9">
        <v>46186</v>
      </c>
      <c r="B134" s="6" t="s">
        <v>403</v>
      </c>
      <c r="C134" s="6" t="s">
        <v>931</v>
      </c>
      <c r="D134" s="6" t="s">
        <v>30</v>
      </c>
      <c r="E134" s="6" t="s">
        <v>42</v>
      </c>
      <c r="F134" s="6">
        <v>480</v>
      </c>
      <c r="G134" s="6">
        <v>440</v>
      </c>
      <c r="H134" s="6">
        <v>40</v>
      </c>
      <c r="I134" s="6">
        <v>10</v>
      </c>
      <c r="J134" s="6">
        <v>1</v>
      </c>
      <c r="K134" s="6">
        <v>0.1</v>
      </c>
      <c r="L134" s="7">
        <v>0.9</v>
      </c>
      <c r="M134" s="6" t="s">
        <v>1061</v>
      </c>
    </row>
    <row r="135" spans="1:13" x14ac:dyDescent="0.25">
      <c r="A135" s="9">
        <v>46186</v>
      </c>
      <c r="B135" s="6" t="s">
        <v>603</v>
      </c>
      <c r="C135" s="6" t="s">
        <v>931</v>
      </c>
      <c r="D135" s="6" t="s">
        <v>30</v>
      </c>
      <c r="E135" s="6" t="s">
        <v>42</v>
      </c>
      <c r="F135" s="6">
        <v>440</v>
      </c>
      <c r="G135" s="6">
        <v>450</v>
      </c>
      <c r="H135" s="6">
        <v>0</v>
      </c>
      <c r="I135" s="6">
        <v>8</v>
      </c>
      <c r="J135" s="6">
        <v>0</v>
      </c>
      <c r="K135" s="6">
        <v>0</v>
      </c>
      <c r="L135" s="7">
        <v>1</v>
      </c>
      <c r="M135" s="6" t="s">
        <v>1062</v>
      </c>
    </row>
    <row r="136" spans="1:13" x14ac:dyDescent="0.25">
      <c r="A136" s="9">
        <v>46186</v>
      </c>
      <c r="B136" s="6" t="s">
        <v>518</v>
      </c>
      <c r="C136" s="6" t="s">
        <v>931</v>
      </c>
      <c r="D136" s="6" t="s">
        <v>30</v>
      </c>
      <c r="E136" s="6" t="s">
        <v>37</v>
      </c>
      <c r="F136" s="6">
        <v>1190</v>
      </c>
      <c r="G136" s="6">
        <v>1640</v>
      </c>
      <c r="H136" s="6">
        <v>0</v>
      </c>
      <c r="I136" s="6">
        <v>26</v>
      </c>
      <c r="J136" s="6">
        <v>0</v>
      </c>
      <c r="K136" s="6">
        <v>0</v>
      </c>
      <c r="L136" s="7">
        <v>1</v>
      </c>
      <c r="M136" s="6" t="s">
        <v>1063</v>
      </c>
    </row>
    <row r="137" spans="1:13" x14ac:dyDescent="0.25">
      <c r="A137" s="9">
        <v>46186</v>
      </c>
      <c r="B137" s="6" t="s">
        <v>154</v>
      </c>
      <c r="C137" s="6" t="s">
        <v>931</v>
      </c>
      <c r="D137" s="6" t="s">
        <v>30</v>
      </c>
      <c r="E137" s="6" t="s">
        <v>31</v>
      </c>
      <c r="F137" s="6">
        <v>140</v>
      </c>
      <c r="G137" s="6">
        <v>150</v>
      </c>
      <c r="H137" s="6">
        <v>0</v>
      </c>
      <c r="I137" s="6">
        <v>4</v>
      </c>
      <c r="J137" s="6">
        <v>0</v>
      </c>
      <c r="K137" s="6">
        <v>0</v>
      </c>
      <c r="L137" s="7">
        <v>1</v>
      </c>
      <c r="M137" s="6" t="s">
        <v>1064</v>
      </c>
    </row>
    <row r="138" spans="1:13" x14ac:dyDescent="0.25">
      <c r="A138" s="9">
        <v>46186</v>
      </c>
      <c r="B138" s="6" t="s">
        <v>245</v>
      </c>
      <c r="C138" s="6" t="s">
        <v>931</v>
      </c>
      <c r="D138" s="6" t="s">
        <v>30</v>
      </c>
      <c r="E138" s="6" t="s">
        <v>31</v>
      </c>
      <c r="F138" s="6">
        <v>180</v>
      </c>
      <c r="G138" s="6">
        <v>150</v>
      </c>
      <c r="H138" s="6">
        <v>20</v>
      </c>
      <c r="I138" s="6">
        <v>6</v>
      </c>
      <c r="J138" s="6">
        <v>1</v>
      </c>
      <c r="K138" s="6">
        <v>0.16666666666666599</v>
      </c>
      <c r="L138" s="7">
        <v>0.83333333333333304</v>
      </c>
      <c r="M138" s="6" t="s">
        <v>950</v>
      </c>
    </row>
    <row r="139" spans="1:13" x14ac:dyDescent="0.25">
      <c r="A139" s="9">
        <v>46186</v>
      </c>
      <c r="B139" s="6" t="s">
        <v>549</v>
      </c>
      <c r="C139" s="6" t="s">
        <v>931</v>
      </c>
      <c r="D139" s="6" t="s">
        <v>30</v>
      </c>
      <c r="E139" s="6" t="s">
        <v>42</v>
      </c>
      <c r="F139" s="6">
        <v>120</v>
      </c>
      <c r="G139" s="6">
        <v>200</v>
      </c>
      <c r="H139" s="6">
        <v>0</v>
      </c>
      <c r="I139" s="6">
        <v>6</v>
      </c>
      <c r="J139" s="6">
        <v>0</v>
      </c>
      <c r="K139" s="6">
        <v>0</v>
      </c>
      <c r="L139" s="7">
        <v>1</v>
      </c>
      <c r="M139" s="6" t="s">
        <v>1065</v>
      </c>
    </row>
    <row r="140" spans="1:13" x14ac:dyDescent="0.25">
      <c r="A140" s="9">
        <v>46186</v>
      </c>
      <c r="B140" s="6" t="s">
        <v>803</v>
      </c>
      <c r="C140" s="6" t="s">
        <v>931</v>
      </c>
      <c r="D140" s="6" t="s">
        <v>30</v>
      </c>
      <c r="E140" s="6" t="s">
        <v>108</v>
      </c>
      <c r="F140" s="6">
        <v>820</v>
      </c>
      <c r="G140" s="6">
        <v>900</v>
      </c>
      <c r="H140" s="6">
        <v>0</v>
      </c>
      <c r="I140" s="6">
        <v>37</v>
      </c>
      <c r="J140" s="6">
        <v>0</v>
      </c>
      <c r="K140" s="6">
        <v>0</v>
      </c>
      <c r="L140" s="7">
        <v>1</v>
      </c>
      <c r="M140" s="6" t="s">
        <v>1066</v>
      </c>
    </row>
    <row r="141" spans="1:13" x14ac:dyDescent="0.25">
      <c r="A141" s="9">
        <v>46186</v>
      </c>
      <c r="B141" s="6" t="s">
        <v>823</v>
      </c>
      <c r="C141" s="6" t="s">
        <v>931</v>
      </c>
      <c r="D141" s="6" t="s">
        <v>30</v>
      </c>
      <c r="E141" s="6" t="s">
        <v>37</v>
      </c>
      <c r="F141" s="6">
        <v>360</v>
      </c>
      <c r="G141" s="6">
        <v>200</v>
      </c>
      <c r="H141" s="6">
        <v>90</v>
      </c>
      <c r="I141" s="6">
        <v>4</v>
      </c>
      <c r="J141" s="6">
        <v>1</v>
      </c>
      <c r="K141" s="6">
        <v>0.25</v>
      </c>
      <c r="L141" s="7">
        <v>0.75</v>
      </c>
      <c r="M141" s="6" t="s">
        <v>1067</v>
      </c>
    </row>
    <row r="142" spans="1:13" x14ac:dyDescent="0.25">
      <c r="A142" s="9">
        <v>46186</v>
      </c>
      <c r="B142" s="6" t="s">
        <v>220</v>
      </c>
      <c r="C142" s="6" t="s">
        <v>931</v>
      </c>
      <c r="D142" s="6" t="s">
        <v>30</v>
      </c>
      <c r="E142" s="6" t="s">
        <v>42</v>
      </c>
      <c r="F142" s="6">
        <v>330</v>
      </c>
      <c r="G142" s="6">
        <v>290</v>
      </c>
      <c r="H142" s="6">
        <v>40</v>
      </c>
      <c r="I142" s="6">
        <v>5</v>
      </c>
      <c r="J142" s="6">
        <v>1</v>
      </c>
      <c r="K142" s="6">
        <v>0.2</v>
      </c>
      <c r="L142" s="7">
        <v>0.8</v>
      </c>
      <c r="M142" s="6" t="s">
        <v>1068</v>
      </c>
    </row>
    <row r="143" spans="1:13" x14ac:dyDescent="0.25">
      <c r="A143" s="9">
        <v>46186</v>
      </c>
      <c r="B143" s="6" t="s">
        <v>139</v>
      </c>
      <c r="C143" s="6" t="s">
        <v>931</v>
      </c>
      <c r="D143" s="6" t="s">
        <v>30</v>
      </c>
      <c r="E143" s="6" t="s">
        <v>60</v>
      </c>
      <c r="F143" s="6">
        <v>1000</v>
      </c>
      <c r="G143" s="6">
        <v>730</v>
      </c>
      <c r="H143" s="6">
        <v>260</v>
      </c>
      <c r="I143" s="6">
        <v>30</v>
      </c>
      <c r="J143" s="6">
        <v>5</v>
      </c>
      <c r="K143" s="6">
        <v>0.16666666666666599</v>
      </c>
      <c r="L143" s="7">
        <v>0.83333333333333304</v>
      </c>
      <c r="M143" s="6" t="s">
        <v>1069</v>
      </c>
    </row>
    <row r="144" spans="1:13" x14ac:dyDescent="0.25">
      <c r="A144" s="9">
        <v>46186</v>
      </c>
      <c r="B144" s="6" t="s">
        <v>192</v>
      </c>
      <c r="C144" s="6" t="s">
        <v>931</v>
      </c>
      <c r="D144" s="6" t="s">
        <v>30</v>
      </c>
      <c r="E144" s="6" t="s">
        <v>31</v>
      </c>
      <c r="F144" s="6">
        <v>170</v>
      </c>
      <c r="G144" s="6">
        <v>180</v>
      </c>
      <c r="H144" s="6">
        <v>0</v>
      </c>
      <c r="I144" s="6">
        <v>4</v>
      </c>
      <c r="J144" s="6">
        <v>0</v>
      </c>
      <c r="K144" s="6">
        <v>0</v>
      </c>
      <c r="L144" s="7">
        <v>1</v>
      </c>
      <c r="M144" s="6" t="s">
        <v>950</v>
      </c>
    </row>
    <row r="145" spans="1:13" x14ac:dyDescent="0.25">
      <c r="A145" s="9">
        <v>46186</v>
      </c>
      <c r="B145" s="6" t="s">
        <v>360</v>
      </c>
      <c r="C145" s="6" t="s">
        <v>931</v>
      </c>
      <c r="D145" s="6" t="s">
        <v>30</v>
      </c>
      <c r="E145" s="6" t="s">
        <v>60</v>
      </c>
      <c r="F145" s="6">
        <v>540</v>
      </c>
      <c r="G145" s="6">
        <v>550</v>
      </c>
      <c r="H145" s="6">
        <v>0</v>
      </c>
      <c r="I145" s="6">
        <v>12</v>
      </c>
      <c r="J145" s="6">
        <v>0</v>
      </c>
      <c r="K145" s="6">
        <v>0</v>
      </c>
      <c r="L145" s="7">
        <v>1</v>
      </c>
      <c r="M145" s="6" t="s">
        <v>1070</v>
      </c>
    </row>
    <row r="146" spans="1:13" x14ac:dyDescent="0.25">
      <c r="A146" s="9">
        <v>46186</v>
      </c>
      <c r="B146" s="6" t="s">
        <v>151</v>
      </c>
      <c r="C146" s="6" t="s">
        <v>931</v>
      </c>
      <c r="D146" s="6" t="s">
        <v>30</v>
      </c>
      <c r="E146" s="6" t="s">
        <v>42</v>
      </c>
      <c r="F146" s="6">
        <v>400</v>
      </c>
      <c r="G146" s="6">
        <v>410</v>
      </c>
      <c r="H146" s="6">
        <v>0</v>
      </c>
      <c r="I146" s="6">
        <v>7</v>
      </c>
      <c r="J146" s="6">
        <v>0</v>
      </c>
      <c r="K146" s="6">
        <v>0</v>
      </c>
      <c r="L146" s="7">
        <v>1</v>
      </c>
      <c r="M146" s="6" t="s">
        <v>1071</v>
      </c>
    </row>
    <row r="147" spans="1:13" x14ac:dyDescent="0.25">
      <c r="A147" s="9">
        <v>46186</v>
      </c>
      <c r="B147" s="6" t="s">
        <v>580</v>
      </c>
      <c r="C147" s="6" t="s">
        <v>931</v>
      </c>
      <c r="D147" s="6" t="s">
        <v>30</v>
      </c>
      <c r="E147" s="6" t="s">
        <v>60</v>
      </c>
      <c r="F147" s="6">
        <v>1260</v>
      </c>
      <c r="G147" s="6">
        <v>2480</v>
      </c>
      <c r="H147" s="6">
        <v>0</v>
      </c>
      <c r="I147" s="6">
        <v>12</v>
      </c>
      <c r="J147" s="6">
        <v>0</v>
      </c>
      <c r="K147" s="6">
        <v>0</v>
      </c>
      <c r="L147" s="7">
        <v>1</v>
      </c>
      <c r="M147" s="6" t="s">
        <v>1072</v>
      </c>
    </row>
    <row r="148" spans="1:13" x14ac:dyDescent="0.25">
      <c r="A148" s="9">
        <v>46186</v>
      </c>
      <c r="B148" s="6" t="s">
        <v>746</v>
      </c>
      <c r="C148" s="6" t="s">
        <v>931</v>
      </c>
      <c r="D148" s="6" t="s">
        <v>30</v>
      </c>
      <c r="E148" s="6" t="s">
        <v>31</v>
      </c>
      <c r="F148" s="6">
        <v>800</v>
      </c>
      <c r="G148" s="6">
        <v>520</v>
      </c>
      <c r="H148" s="6">
        <v>280</v>
      </c>
      <c r="I148" s="6">
        <v>21</v>
      </c>
      <c r="J148" s="6">
        <v>7</v>
      </c>
      <c r="K148" s="6">
        <v>0.33333333333333298</v>
      </c>
      <c r="L148" s="7">
        <v>0.66666666666666596</v>
      </c>
      <c r="M148" s="6" t="s">
        <v>1073</v>
      </c>
    </row>
    <row r="149" spans="1:13" x14ac:dyDescent="0.25">
      <c r="A149" s="9">
        <v>46186</v>
      </c>
      <c r="B149" s="6" t="s">
        <v>166</v>
      </c>
      <c r="C149" s="6" t="s">
        <v>931</v>
      </c>
      <c r="D149" s="6" t="s">
        <v>30</v>
      </c>
      <c r="E149" s="6" t="s">
        <v>31</v>
      </c>
      <c r="F149" s="6">
        <v>40</v>
      </c>
      <c r="G149" s="6">
        <v>70</v>
      </c>
      <c r="H149" s="6">
        <v>0</v>
      </c>
      <c r="I149" s="6">
        <v>2</v>
      </c>
      <c r="J149" s="6">
        <v>0</v>
      </c>
      <c r="K149" s="6">
        <v>0</v>
      </c>
      <c r="L149" s="7">
        <v>1</v>
      </c>
      <c r="M149" s="6" t="s">
        <v>1074</v>
      </c>
    </row>
    <row r="150" spans="1:13" x14ac:dyDescent="0.25">
      <c r="A150" s="9">
        <v>46186</v>
      </c>
      <c r="B150" s="6" t="s">
        <v>919</v>
      </c>
      <c r="C150" s="6" t="s">
        <v>931</v>
      </c>
      <c r="D150" s="6" t="s">
        <v>30</v>
      </c>
      <c r="E150" s="6" t="s">
        <v>37</v>
      </c>
      <c r="F150" s="6">
        <v>720</v>
      </c>
      <c r="G150" s="6">
        <v>1330</v>
      </c>
      <c r="H150" s="6">
        <v>0</v>
      </c>
      <c r="I150" s="6">
        <v>8</v>
      </c>
      <c r="J150" s="6">
        <v>0</v>
      </c>
      <c r="K150" s="6">
        <v>0</v>
      </c>
      <c r="L150" s="7">
        <v>1</v>
      </c>
      <c r="M150" s="6" t="s">
        <v>1075</v>
      </c>
    </row>
    <row r="151" spans="1:13" x14ac:dyDescent="0.25">
      <c r="A151" s="9">
        <v>46186</v>
      </c>
      <c r="B151" s="6" t="s">
        <v>736</v>
      </c>
      <c r="C151" s="6" t="s">
        <v>931</v>
      </c>
      <c r="D151" s="6" t="s">
        <v>30</v>
      </c>
      <c r="E151" s="6" t="s">
        <v>42</v>
      </c>
      <c r="F151" s="6">
        <v>360</v>
      </c>
      <c r="G151" s="6">
        <v>360</v>
      </c>
      <c r="H151" s="6">
        <v>0</v>
      </c>
      <c r="I151" s="6">
        <v>9</v>
      </c>
      <c r="J151" s="6">
        <v>0</v>
      </c>
      <c r="K151" s="6">
        <v>0</v>
      </c>
      <c r="L151" s="7">
        <v>1</v>
      </c>
      <c r="M151" s="6" t="s">
        <v>1076</v>
      </c>
    </row>
    <row r="152" spans="1:13" x14ac:dyDescent="0.25">
      <c r="A152" s="9">
        <v>46186</v>
      </c>
      <c r="B152" s="6" t="s">
        <v>267</v>
      </c>
      <c r="C152" s="6" t="s">
        <v>931</v>
      </c>
      <c r="D152" s="6" t="s">
        <v>30</v>
      </c>
      <c r="E152" s="6" t="s">
        <v>42</v>
      </c>
      <c r="F152" s="6">
        <v>380</v>
      </c>
      <c r="G152" s="6">
        <v>400</v>
      </c>
      <c r="H152" s="6">
        <v>0</v>
      </c>
      <c r="I152" s="6">
        <v>9</v>
      </c>
      <c r="J152" s="6">
        <v>0</v>
      </c>
      <c r="K152" s="6">
        <v>0</v>
      </c>
      <c r="L152" s="7">
        <v>1</v>
      </c>
      <c r="M152" s="6" t="s">
        <v>1077</v>
      </c>
    </row>
    <row r="153" spans="1:13" x14ac:dyDescent="0.25">
      <c r="A153" s="9">
        <v>46186</v>
      </c>
      <c r="B153" s="6" t="s">
        <v>252</v>
      </c>
      <c r="C153" s="6" t="s">
        <v>931</v>
      </c>
      <c r="D153" s="6" t="s">
        <v>30</v>
      </c>
      <c r="E153" s="6" t="s">
        <v>42</v>
      </c>
      <c r="F153" s="6">
        <v>400</v>
      </c>
      <c r="G153" s="6">
        <v>420</v>
      </c>
      <c r="H153" s="6">
        <v>0</v>
      </c>
      <c r="I153" s="6">
        <v>8</v>
      </c>
      <c r="J153" s="6">
        <v>0</v>
      </c>
      <c r="K153" s="6">
        <v>0</v>
      </c>
      <c r="L153" s="7">
        <v>1</v>
      </c>
      <c r="M153" s="6" t="s">
        <v>1078</v>
      </c>
    </row>
    <row r="154" spans="1:13" x14ac:dyDescent="0.25">
      <c r="A154" s="9">
        <v>46186</v>
      </c>
      <c r="B154" s="6" t="s">
        <v>375</v>
      </c>
      <c r="C154" s="6" t="s">
        <v>931</v>
      </c>
      <c r="D154" s="6" t="s">
        <v>30</v>
      </c>
      <c r="E154" s="6" t="s">
        <v>42</v>
      </c>
      <c r="F154" s="6">
        <v>840</v>
      </c>
      <c r="G154" s="6">
        <v>990</v>
      </c>
      <c r="H154" s="6">
        <v>0</v>
      </c>
      <c r="I154" s="6">
        <v>21</v>
      </c>
      <c r="J154" s="6">
        <v>0</v>
      </c>
      <c r="K154" s="6">
        <v>0</v>
      </c>
      <c r="L154" s="7">
        <v>1</v>
      </c>
      <c r="M154" s="6" t="s">
        <v>1079</v>
      </c>
    </row>
    <row r="155" spans="1:13" x14ac:dyDescent="0.25">
      <c r="A155" s="9">
        <v>46186</v>
      </c>
      <c r="B155" s="6" t="s">
        <v>297</v>
      </c>
      <c r="C155" s="6" t="s">
        <v>931</v>
      </c>
      <c r="D155" s="6" t="s">
        <v>30</v>
      </c>
      <c r="E155" s="6" t="s">
        <v>31</v>
      </c>
      <c r="F155" s="6">
        <v>600</v>
      </c>
      <c r="G155" s="6">
        <v>655</v>
      </c>
      <c r="H155" s="6">
        <v>0</v>
      </c>
      <c r="I155" s="6">
        <v>4</v>
      </c>
      <c r="J155" s="6">
        <v>0</v>
      </c>
      <c r="K155" s="6">
        <v>0</v>
      </c>
      <c r="L155" s="7">
        <v>1</v>
      </c>
      <c r="M155" s="6" t="s">
        <v>1080</v>
      </c>
    </row>
    <row r="156" spans="1:13" x14ac:dyDescent="0.25">
      <c r="A156" s="9">
        <v>46186</v>
      </c>
      <c r="B156" s="6" t="s">
        <v>116</v>
      </c>
      <c r="C156" s="6" t="s">
        <v>931</v>
      </c>
      <c r="D156" s="6" t="s">
        <v>30</v>
      </c>
      <c r="E156" s="6" t="s">
        <v>108</v>
      </c>
      <c r="F156" s="6">
        <v>2320</v>
      </c>
      <c r="G156" s="6">
        <v>2090</v>
      </c>
      <c r="H156" s="6">
        <v>200</v>
      </c>
      <c r="I156" s="6">
        <v>58</v>
      </c>
      <c r="J156" s="6">
        <v>5</v>
      </c>
      <c r="K156" s="6">
        <v>8.6206896551724102E-2</v>
      </c>
      <c r="L156" s="7">
        <v>0.91379310344827502</v>
      </c>
      <c r="M156" s="6" t="s">
        <v>1081</v>
      </c>
    </row>
    <row r="157" spans="1:13" x14ac:dyDescent="0.25">
      <c r="A157" s="9">
        <v>46186</v>
      </c>
      <c r="B157" s="6" t="s">
        <v>609</v>
      </c>
      <c r="C157" s="6" t="s">
        <v>931</v>
      </c>
      <c r="D157" s="6" t="s">
        <v>30</v>
      </c>
      <c r="E157" s="6" t="s">
        <v>60</v>
      </c>
      <c r="F157" s="6">
        <v>510</v>
      </c>
      <c r="G157" s="6">
        <v>580</v>
      </c>
      <c r="H157" s="6">
        <v>0</v>
      </c>
      <c r="I157" s="6">
        <v>5</v>
      </c>
      <c r="J157" s="6">
        <v>0</v>
      </c>
      <c r="K157" s="6">
        <v>0</v>
      </c>
      <c r="L157" s="7">
        <v>1</v>
      </c>
      <c r="M157" s="6" t="s">
        <v>1082</v>
      </c>
    </row>
    <row r="158" spans="1:13" x14ac:dyDescent="0.25">
      <c r="A158" s="9">
        <v>46186</v>
      </c>
      <c r="B158" s="6" t="s">
        <v>435</v>
      </c>
      <c r="C158" s="6" t="s">
        <v>931</v>
      </c>
      <c r="D158" s="6" t="s">
        <v>30</v>
      </c>
      <c r="E158" s="6" t="s">
        <v>37</v>
      </c>
      <c r="F158" s="6">
        <v>920</v>
      </c>
      <c r="G158" s="6">
        <v>1090</v>
      </c>
      <c r="H158" s="6">
        <v>0</v>
      </c>
      <c r="I158" s="6">
        <v>23</v>
      </c>
      <c r="J158" s="6">
        <v>0</v>
      </c>
      <c r="K158" s="6">
        <v>0</v>
      </c>
      <c r="L158" s="7">
        <v>1</v>
      </c>
      <c r="M158" s="6" t="s">
        <v>1083</v>
      </c>
    </row>
    <row r="159" spans="1:13" x14ac:dyDescent="0.25">
      <c r="A159" s="9">
        <v>46186</v>
      </c>
      <c r="B159" s="6" t="s">
        <v>781</v>
      </c>
      <c r="C159" s="6" t="s">
        <v>931</v>
      </c>
      <c r="D159" s="6" t="s">
        <v>30</v>
      </c>
      <c r="E159" s="6" t="s">
        <v>31</v>
      </c>
      <c r="F159" s="6">
        <v>100</v>
      </c>
      <c r="G159" s="6">
        <v>100</v>
      </c>
      <c r="H159" s="6">
        <v>0</v>
      </c>
      <c r="I159" s="6">
        <v>3</v>
      </c>
      <c r="J159" s="6">
        <v>0</v>
      </c>
      <c r="K159" s="6">
        <v>0</v>
      </c>
      <c r="L159" s="7">
        <v>1</v>
      </c>
      <c r="M159" s="6" t="s">
        <v>1084</v>
      </c>
    </row>
    <row r="160" spans="1:13" x14ac:dyDescent="0.25">
      <c r="A160" s="9">
        <v>46186</v>
      </c>
      <c r="B160" s="6" t="s">
        <v>826</v>
      </c>
      <c r="C160" s="6" t="s">
        <v>931</v>
      </c>
      <c r="D160" s="6" t="s">
        <v>30</v>
      </c>
      <c r="E160" s="6" t="s">
        <v>108</v>
      </c>
      <c r="F160" s="6">
        <v>120</v>
      </c>
      <c r="G160" s="6">
        <v>50</v>
      </c>
      <c r="H160" s="6">
        <v>40</v>
      </c>
      <c r="I160" s="6">
        <v>3</v>
      </c>
      <c r="J160" s="6">
        <v>1</v>
      </c>
      <c r="K160" s="6">
        <v>0.33333333333333298</v>
      </c>
      <c r="L160" s="7">
        <v>0.66666666666666596</v>
      </c>
      <c r="M160" s="6" t="s">
        <v>1085</v>
      </c>
    </row>
    <row r="161" spans="1:13" x14ac:dyDescent="0.25">
      <c r="A161" s="9">
        <v>46186</v>
      </c>
      <c r="B161" s="6" t="s">
        <v>753</v>
      </c>
      <c r="C161" s="6" t="s">
        <v>931</v>
      </c>
      <c r="D161" s="6" t="s">
        <v>30</v>
      </c>
      <c r="E161" s="6" t="s">
        <v>31</v>
      </c>
      <c r="F161" s="6">
        <v>280</v>
      </c>
      <c r="G161" s="6">
        <v>110</v>
      </c>
      <c r="H161" s="6">
        <v>168</v>
      </c>
      <c r="I161" s="6">
        <v>9</v>
      </c>
      <c r="J161" s="6">
        <v>5</v>
      </c>
      <c r="K161" s="6">
        <v>0.55555555555555503</v>
      </c>
      <c r="L161" s="7">
        <v>0.44444444444444398</v>
      </c>
      <c r="M161" s="6" t="s">
        <v>1018</v>
      </c>
    </row>
    <row r="162" spans="1:13" x14ac:dyDescent="0.25">
      <c r="A162" s="9">
        <v>46186</v>
      </c>
      <c r="B162" s="6" t="s">
        <v>789</v>
      </c>
      <c r="C162" s="6" t="s">
        <v>931</v>
      </c>
      <c r="D162" s="6" t="s">
        <v>30</v>
      </c>
      <c r="E162" s="6" t="s">
        <v>37</v>
      </c>
      <c r="F162" s="6">
        <v>2220</v>
      </c>
      <c r="G162" s="6">
        <v>2580</v>
      </c>
      <c r="H162" s="6">
        <v>0</v>
      </c>
      <c r="I162" s="6">
        <v>54</v>
      </c>
      <c r="J162" s="6">
        <v>0</v>
      </c>
      <c r="K162" s="6">
        <v>0</v>
      </c>
      <c r="L162" s="7">
        <v>1</v>
      </c>
      <c r="M162" s="6" t="s">
        <v>1086</v>
      </c>
    </row>
    <row r="163" spans="1:13" x14ac:dyDescent="0.25">
      <c r="A163" s="9">
        <v>46186</v>
      </c>
      <c r="B163" s="6" t="s">
        <v>467</v>
      </c>
      <c r="C163" s="6" t="s">
        <v>931</v>
      </c>
      <c r="D163" s="6" t="s">
        <v>30</v>
      </c>
      <c r="E163" s="6" t="s">
        <v>37</v>
      </c>
      <c r="F163" s="6">
        <v>300</v>
      </c>
      <c r="G163" s="6">
        <v>310</v>
      </c>
      <c r="H163" s="6">
        <v>0</v>
      </c>
      <c r="I163" s="6">
        <v>8</v>
      </c>
      <c r="J163" s="6">
        <v>0</v>
      </c>
      <c r="K163" s="6">
        <v>0</v>
      </c>
      <c r="L163" s="7">
        <v>1</v>
      </c>
      <c r="M163" s="6" t="s">
        <v>1087</v>
      </c>
    </row>
    <row r="164" spans="1:13" x14ac:dyDescent="0.25">
      <c r="A164" s="9">
        <v>46186</v>
      </c>
      <c r="B164" s="6" t="s">
        <v>629</v>
      </c>
      <c r="C164" s="6" t="s">
        <v>931</v>
      </c>
      <c r="D164" s="6" t="s">
        <v>30</v>
      </c>
      <c r="E164" s="6" t="s">
        <v>60</v>
      </c>
      <c r="F164" s="6">
        <v>940</v>
      </c>
      <c r="G164" s="6">
        <v>1080</v>
      </c>
      <c r="H164" s="6">
        <v>0</v>
      </c>
      <c r="I164" s="6">
        <v>19</v>
      </c>
      <c r="J164" s="6">
        <v>0</v>
      </c>
      <c r="K164" s="6">
        <v>0</v>
      </c>
      <c r="L164" s="7">
        <v>1</v>
      </c>
      <c r="M164" s="6" t="s">
        <v>1088</v>
      </c>
    </row>
    <row r="165" spans="1:13" x14ac:dyDescent="0.25">
      <c r="A165" s="9">
        <v>46186</v>
      </c>
      <c r="B165" s="6" t="s">
        <v>416</v>
      </c>
      <c r="C165" s="6" t="s">
        <v>931</v>
      </c>
      <c r="D165" s="6" t="s">
        <v>30</v>
      </c>
      <c r="E165" s="6" t="s">
        <v>60</v>
      </c>
      <c r="F165" s="6">
        <v>1080</v>
      </c>
      <c r="G165" s="6">
        <v>970</v>
      </c>
      <c r="H165" s="6">
        <v>90</v>
      </c>
      <c r="I165" s="6">
        <v>22</v>
      </c>
      <c r="J165" s="6">
        <v>2</v>
      </c>
      <c r="K165" s="6">
        <v>9.0909090909090898E-2</v>
      </c>
      <c r="L165" s="7">
        <v>0.90909090909090895</v>
      </c>
      <c r="M165" s="6" t="s">
        <v>1089</v>
      </c>
    </row>
    <row r="166" spans="1:13" x14ac:dyDescent="0.25">
      <c r="A166" s="9">
        <v>46186</v>
      </c>
      <c r="B166" s="6" t="s">
        <v>195</v>
      </c>
      <c r="C166" s="6" t="s">
        <v>931</v>
      </c>
      <c r="D166" s="6" t="s">
        <v>30</v>
      </c>
      <c r="E166" s="6" t="s">
        <v>31</v>
      </c>
      <c r="F166" s="6">
        <v>360</v>
      </c>
      <c r="G166" s="6">
        <v>320</v>
      </c>
      <c r="H166" s="6">
        <v>40</v>
      </c>
      <c r="I166" s="6">
        <v>14</v>
      </c>
      <c r="J166" s="6">
        <v>1</v>
      </c>
      <c r="K166" s="6">
        <v>7.1428571428571397E-2</v>
      </c>
      <c r="L166" s="7">
        <v>0.92857142857142805</v>
      </c>
      <c r="M166" s="6" t="s">
        <v>1090</v>
      </c>
    </row>
    <row r="167" spans="1:13" x14ac:dyDescent="0.25">
      <c r="A167" s="9">
        <v>46186</v>
      </c>
      <c r="B167" s="6" t="s">
        <v>127</v>
      </c>
      <c r="C167" s="6" t="s">
        <v>931</v>
      </c>
      <c r="D167" s="6" t="s">
        <v>30</v>
      </c>
      <c r="E167" s="6" t="s">
        <v>31</v>
      </c>
      <c r="F167" s="6">
        <v>620</v>
      </c>
      <c r="G167" s="6">
        <v>970</v>
      </c>
      <c r="H167" s="6">
        <v>0</v>
      </c>
      <c r="I167" s="6">
        <v>7</v>
      </c>
      <c r="J167" s="6">
        <v>0</v>
      </c>
      <c r="K167" s="6">
        <v>0</v>
      </c>
      <c r="L167" s="7">
        <v>1</v>
      </c>
      <c r="M167" s="6" t="s">
        <v>1091</v>
      </c>
    </row>
    <row r="168" spans="1:13" x14ac:dyDescent="0.25">
      <c r="A168" s="9">
        <v>46186</v>
      </c>
      <c r="B168" s="6" t="s">
        <v>204</v>
      </c>
      <c r="C168" s="6" t="s">
        <v>931</v>
      </c>
      <c r="D168" s="6" t="s">
        <v>30</v>
      </c>
      <c r="E168" s="6" t="s">
        <v>31</v>
      </c>
      <c r="F168" s="6">
        <v>340</v>
      </c>
      <c r="G168" s="6">
        <v>490</v>
      </c>
      <c r="H168" s="6">
        <v>0</v>
      </c>
      <c r="I168" s="6">
        <v>17</v>
      </c>
      <c r="J168" s="6">
        <v>0</v>
      </c>
      <c r="K168" s="6">
        <v>0</v>
      </c>
      <c r="L168" s="7">
        <v>1</v>
      </c>
      <c r="M168" s="6" t="s">
        <v>1092</v>
      </c>
    </row>
    <row r="169" spans="1:13" x14ac:dyDescent="0.25">
      <c r="A169" s="9">
        <v>46186</v>
      </c>
      <c r="B169" s="6" t="s">
        <v>699</v>
      </c>
      <c r="C169" s="6" t="s">
        <v>931</v>
      </c>
      <c r="D169" s="6" t="s">
        <v>30</v>
      </c>
      <c r="E169" s="6" t="s">
        <v>42</v>
      </c>
      <c r="F169" s="6">
        <v>490</v>
      </c>
      <c r="G169" s="6">
        <v>550</v>
      </c>
      <c r="H169" s="6">
        <v>0</v>
      </c>
      <c r="I169" s="6">
        <v>10</v>
      </c>
      <c r="J169" s="6">
        <v>0</v>
      </c>
      <c r="K169" s="6">
        <v>0</v>
      </c>
      <c r="L169" s="7">
        <v>1</v>
      </c>
      <c r="M169" s="6" t="s">
        <v>1093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5B1A6-28A5-438D-9367-2826D569A89E}">
  <dimension ref="A1:G15"/>
  <sheetViews>
    <sheetView workbookViewId="0">
      <selection activeCell="A9" sqref="A9:G14"/>
    </sheetView>
  </sheetViews>
  <sheetFormatPr defaultRowHeight="15" x14ac:dyDescent="0.25"/>
  <cols>
    <col min="2" max="2" width="22.85546875" customWidth="1"/>
    <col min="3" max="3" width="23.140625" customWidth="1"/>
    <col min="5" max="5" width="22.140625" customWidth="1"/>
    <col min="7" max="7" width="34.140625" customWidth="1"/>
  </cols>
  <sheetData>
    <row r="1" spans="1:7" ht="24" customHeight="1" x14ac:dyDescent="0.25">
      <c r="A1" s="10">
        <v>46054</v>
      </c>
      <c r="B1" s="11" t="s">
        <v>1094</v>
      </c>
      <c r="C1" s="11" t="s">
        <v>1095</v>
      </c>
      <c r="D1" s="11">
        <v>46</v>
      </c>
      <c r="E1" s="12">
        <v>40</v>
      </c>
      <c r="F1" s="23">
        <v>6216.24</v>
      </c>
      <c r="G1" s="25" t="s">
        <v>1096</v>
      </c>
    </row>
    <row r="2" spans="1:7" ht="24" customHeight="1" x14ac:dyDescent="0.25">
      <c r="A2" s="10">
        <v>46054</v>
      </c>
      <c r="B2" s="11" t="s">
        <v>1094</v>
      </c>
      <c r="C2" s="11" t="s">
        <v>1097</v>
      </c>
      <c r="D2" s="11">
        <v>44</v>
      </c>
      <c r="E2" s="12">
        <v>50</v>
      </c>
      <c r="F2" s="23"/>
      <c r="G2" s="25"/>
    </row>
    <row r="3" spans="1:7" ht="24" customHeight="1" x14ac:dyDescent="0.25">
      <c r="A3" s="10">
        <v>46054</v>
      </c>
      <c r="B3" s="11" t="s">
        <v>1094</v>
      </c>
      <c r="C3" s="11" t="s">
        <v>1098</v>
      </c>
      <c r="D3" s="11">
        <v>23</v>
      </c>
      <c r="E3" s="12">
        <v>50</v>
      </c>
      <c r="F3" s="24"/>
      <c r="G3" s="26"/>
    </row>
    <row r="4" spans="1:7" ht="24" customHeight="1" x14ac:dyDescent="0.25">
      <c r="A4" s="10">
        <v>46054</v>
      </c>
      <c r="B4" s="11" t="s">
        <v>1094</v>
      </c>
      <c r="C4" s="11" t="s">
        <v>1095</v>
      </c>
      <c r="D4" s="11">
        <v>46</v>
      </c>
      <c r="E4" s="12">
        <v>40</v>
      </c>
      <c r="F4" s="27">
        <v>6216.24</v>
      </c>
      <c r="G4" s="28" t="s">
        <v>1099</v>
      </c>
    </row>
    <row r="5" spans="1:7" ht="24" customHeight="1" x14ac:dyDescent="0.25">
      <c r="A5" s="10">
        <v>46082</v>
      </c>
      <c r="B5" s="11" t="s">
        <v>1094</v>
      </c>
      <c r="C5" s="11" t="s">
        <v>1097</v>
      </c>
      <c r="D5" s="11">
        <v>44</v>
      </c>
      <c r="E5" s="12">
        <v>50</v>
      </c>
      <c r="F5" s="23"/>
      <c r="G5" s="25"/>
    </row>
    <row r="6" spans="1:7" ht="24" customHeight="1" x14ac:dyDescent="0.25">
      <c r="A6" s="10">
        <v>46082</v>
      </c>
      <c r="B6" s="11" t="s">
        <v>1094</v>
      </c>
      <c r="C6" s="11" t="s">
        <v>1098</v>
      </c>
      <c r="D6" s="11">
        <v>23</v>
      </c>
      <c r="E6" s="12">
        <v>50</v>
      </c>
      <c r="F6" s="24"/>
      <c r="G6" s="26"/>
    </row>
    <row r="7" spans="1:7" ht="24" customHeight="1" x14ac:dyDescent="0.25">
      <c r="A7" s="10">
        <v>46054</v>
      </c>
      <c r="B7" s="11">
        <v>1376158332</v>
      </c>
      <c r="C7" s="11" t="s">
        <v>1098</v>
      </c>
      <c r="D7" s="11">
        <v>31</v>
      </c>
      <c r="E7" s="11">
        <v>50</v>
      </c>
      <c r="F7" s="27">
        <v>6665.82</v>
      </c>
      <c r="G7" s="27" t="s">
        <v>1100</v>
      </c>
    </row>
    <row r="8" spans="1:7" ht="24" customHeight="1" x14ac:dyDescent="0.25">
      <c r="A8" s="16">
        <v>46054</v>
      </c>
      <c r="B8" s="17">
        <v>1376158332</v>
      </c>
      <c r="C8" s="17" t="s">
        <v>1101</v>
      </c>
      <c r="D8" s="17">
        <v>79</v>
      </c>
      <c r="E8" s="17">
        <v>50</v>
      </c>
      <c r="F8" s="23"/>
      <c r="G8" s="23"/>
    </row>
    <row r="9" spans="1:7" ht="24" customHeight="1" x14ac:dyDescent="0.25">
      <c r="A9" s="18">
        <v>46082</v>
      </c>
      <c r="B9" s="19">
        <v>1376158332</v>
      </c>
      <c r="C9" s="19" t="s">
        <v>1098</v>
      </c>
      <c r="D9" s="19">
        <v>31</v>
      </c>
      <c r="E9" s="19">
        <v>50</v>
      </c>
      <c r="F9" s="21">
        <v>6665.82</v>
      </c>
      <c r="G9" s="22" t="s">
        <v>1102</v>
      </c>
    </row>
    <row r="10" spans="1:7" ht="24" customHeight="1" x14ac:dyDescent="0.25">
      <c r="A10" s="18">
        <v>46082</v>
      </c>
      <c r="B10" s="19">
        <v>1376158332</v>
      </c>
      <c r="C10" s="19" t="s">
        <v>1101</v>
      </c>
      <c r="D10" s="19">
        <v>79</v>
      </c>
      <c r="E10" s="19">
        <v>50</v>
      </c>
      <c r="F10" s="21"/>
      <c r="G10" s="22"/>
    </row>
    <row r="11" spans="1:7" ht="24" customHeight="1" x14ac:dyDescent="0.25">
      <c r="A11" s="18">
        <v>46054</v>
      </c>
      <c r="B11" s="20">
        <v>1376158335</v>
      </c>
      <c r="C11" s="20" t="s">
        <v>1103</v>
      </c>
      <c r="D11" s="20">
        <v>4</v>
      </c>
      <c r="E11" s="20">
        <v>299</v>
      </c>
      <c r="F11" s="21">
        <v>5395.59</v>
      </c>
      <c r="G11" s="22" t="s">
        <v>1104</v>
      </c>
    </row>
    <row r="12" spans="1:7" ht="24" customHeight="1" x14ac:dyDescent="0.25">
      <c r="A12" s="18">
        <v>46054</v>
      </c>
      <c r="B12" s="20">
        <v>1376158335</v>
      </c>
      <c r="C12" s="20" t="s">
        <v>1105</v>
      </c>
      <c r="D12" s="20">
        <v>13</v>
      </c>
      <c r="E12" s="20">
        <v>299</v>
      </c>
      <c r="F12" s="21"/>
      <c r="G12" s="22"/>
    </row>
    <row r="13" spans="1:7" ht="24" customHeight="1" x14ac:dyDescent="0.25">
      <c r="A13" s="18">
        <v>46082</v>
      </c>
      <c r="B13" s="20">
        <v>1376158335</v>
      </c>
      <c r="C13" s="20" t="s">
        <v>1103</v>
      </c>
      <c r="D13" s="20">
        <v>4</v>
      </c>
      <c r="E13" s="20">
        <v>299</v>
      </c>
      <c r="F13" s="21">
        <v>5994.82</v>
      </c>
      <c r="G13" s="22" t="s">
        <v>1106</v>
      </c>
    </row>
    <row r="14" spans="1:7" ht="24" customHeight="1" x14ac:dyDescent="0.25">
      <c r="A14" s="18">
        <v>46082</v>
      </c>
      <c r="B14" s="20">
        <v>1376158335</v>
      </c>
      <c r="C14" s="20" t="s">
        <v>1105</v>
      </c>
      <c r="D14" s="20">
        <v>13</v>
      </c>
      <c r="E14" s="20">
        <v>299</v>
      </c>
      <c r="F14" s="21"/>
      <c r="G14" s="22"/>
    </row>
    <row r="15" spans="1:7" ht="24" customHeight="1" x14ac:dyDescent="0.25">
      <c r="A15" s="13"/>
      <c r="B15" s="13"/>
      <c r="C15" s="13"/>
      <c r="D15" s="14">
        <v>19748</v>
      </c>
      <c r="E15" s="15" t="s">
        <v>1107</v>
      </c>
      <c r="F15" s="15">
        <v>639076.39</v>
      </c>
      <c r="G15" s="13"/>
    </row>
  </sheetData>
  <mergeCells count="12">
    <mergeCell ref="F1:F3"/>
    <mergeCell ref="G1:G3"/>
    <mergeCell ref="F4:F6"/>
    <mergeCell ref="G4:G6"/>
    <mergeCell ref="F7:F8"/>
    <mergeCell ref="G7:G8"/>
    <mergeCell ref="F9:F10"/>
    <mergeCell ref="G9:G10"/>
    <mergeCell ref="F11:F12"/>
    <mergeCell ref="G11:G12"/>
    <mergeCell ref="F13:F14"/>
    <mergeCell ref="G13:G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Entities table_CCMS Panel View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Vinoth</dc:creator>
  <cp:lastModifiedBy>schcpu 0128</cp:lastModifiedBy>
  <dcterms:created xsi:type="dcterms:W3CDTF">2026-06-13T05:42:14Z</dcterms:created>
  <dcterms:modified xsi:type="dcterms:W3CDTF">2026-06-15T11:05:37Z</dcterms:modified>
</cp:coreProperties>
</file>